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D1C537B-E38A-612A-F078-A93A15B4B7F4}"/>
  <workbookPr codeName="EstaPasta_de_trabalho" defaultThemeVersion="124226"/>
  <mc:AlternateContent xmlns:mc="http://schemas.openxmlformats.org/markup-compatibility/2006">
    <mc:Choice Requires="x15">
      <x15ac:absPath xmlns:x15ac="http://schemas.microsoft.com/office/spreadsheetml/2010/11/ac" url="C:\Users\TI\Downloads\"/>
    </mc:Choice>
  </mc:AlternateContent>
  <xr:revisionPtr revIDLastSave="0" documentId="13_ncr:1_{71107EE5-3F9B-4BBE-9634-76144DC72661}" xr6:coauthVersionLast="47" xr6:coauthVersionMax="47" xr10:uidLastSave="{00000000-0000-0000-0000-000000000000}"/>
  <bookViews>
    <workbookView xWindow="-120" yWindow="-120" windowWidth="20730" windowHeight="11070" xr2:uid="{00000000-000D-0000-FFFF-FFFF00000000}"/>
  </bookViews>
  <sheets>
    <sheet name="Calculo Ponto" sheetId="2" r:id="rId1"/>
  </sheets>
  <functionGroups builtInGroupCount="19"/>
  <definedNames>
    <definedName name="Anos" localSheetId="0">'Calculo Ponto'!$D$81:$D$84</definedName>
    <definedName name="Anos">#REF!</definedName>
    <definedName name="Meses" localSheetId="0">'Calculo Ponto'!$F$81:$F$92</definedName>
    <definedName name="Mese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18" i="2" l="1"/>
  <c r="D18" i="2"/>
  <c r="R78" i="2"/>
  <c r="B74" i="2"/>
  <c r="X12" i="2"/>
  <c r="D20" i="2"/>
  <c r="AI20" i="2" l="1"/>
  <c r="R34" i="2"/>
  <c r="U78" i="2"/>
  <c r="B78" i="2"/>
  <c r="U76" i="2"/>
  <c r="R76" i="2"/>
  <c r="B76" i="2"/>
  <c r="U74" i="2"/>
  <c r="R74" i="2"/>
  <c r="U72" i="2"/>
  <c r="R72" i="2"/>
  <c r="U70" i="2"/>
  <c r="R70" i="2"/>
  <c r="U68" i="2"/>
  <c r="R68" i="2"/>
  <c r="U66" i="2"/>
  <c r="R66" i="2"/>
  <c r="U64" i="2"/>
  <c r="R64" i="2"/>
  <c r="U62" i="2"/>
  <c r="R62" i="2"/>
  <c r="U60" i="2"/>
  <c r="R60" i="2"/>
  <c r="U58" i="2"/>
  <c r="R58" i="2"/>
  <c r="U56" i="2"/>
  <c r="R56" i="2"/>
  <c r="U54" i="2"/>
  <c r="R54" i="2"/>
  <c r="U52" i="2"/>
  <c r="R52" i="2"/>
  <c r="U50" i="2"/>
  <c r="R50" i="2"/>
  <c r="U48" i="2"/>
  <c r="R48" i="2"/>
  <c r="U46" i="2"/>
  <c r="R46" i="2"/>
  <c r="U44" i="2"/>
  <c r="R44" i="2"/>
  <c r="U42" i="2"/>
  <c r="R42" i="2"/>
  <c r="U40" i="2"/>
  <c r="R40" i="2"/>
  <c r="U38" i="2"/>
  <c r="R38" i="2"/>
  <c r="U36" i="2"/>
  <c r="R36" i="2"/>
  <c r="U34" i="2"/>
  <c r="U32" i="2"/>
  <c r="R32" i="2"/>
  <c r="U30" i="2"/>
  <c r="R30" i="2"/>
  <c r="U28" i="2"/>
  <c r="R28" i="2"/>
  <c r="U26" i="2"/>
  <c r="R26" i="2"/>
  <c r="U24" i="2"/>
  <c r="R24" i="2"/>
  <c r="U22" i="2"/>
  <c r="R22" i="2"/>
  <c r="U20" i="2"/>
  <c r="R20" i="2"/>
  <c r="R18" i="2"/>
  <c r="X18" i="2" s="1"/>
  <c r="B16" i="2"/>
  <c r="AE12" i="2"/>
  <c r="L122" i="2" s="1"/>
  <c r="F123" i="2"/>
  <c r="R12" i="2"/>
  <c r="B121" i="2" s="1"/>
  <c r="D22" i="2"/>
  <c r="D24" i="2"/>
  <c r="AI24" i="2" l="1"/>
  <c r="AI22" i="2"/>
  <c r="R79" i="2"/>
  <c r="L121" i="2"/>
  <c r="L96" i="2"/>
  <c r="L102" i="2"/>
  <c r="L107" i="2"/>
  <c r="L112" i="2"/>
  <c r="L118" i="2"/>
  <c r="L124" i="2"/>
  <c r="L95" i="2"/>
  <c r="L100" i="2"/>
  <c r="L106" i="2"/>
  <c r="L111" i="2"/>
  <c r="L116" i="2"/>
  <c r="L123" i="2"/>
  <c r="L94" i="2"/>
  <c r="L99" i="2"/>
  <c r="L104" i="2"/>
  <c r="L110" i="2"/>
  <c r="L115" i="2"/>
  <c r="L120" i="2"/>
  <c r="L98" i="2"/>
  <c r="L103" i="2"/>
  <c r="L108" i="2"/>
  <c r="L114" i="2"/>
  <c r="L119" i="2"/>
  <c r="L97" i="2"/>
  <c r="L101" i="2"/>
  <c r="L105" i="2"/>
  <c r="L109" i="2"/>
  <c r="L113" i="2"/>
  <c r="L117" i="2"/>
  <c r="B94" i="2"/>
  <c r="F98" i="2"/>
  <c r="F102" i="2"/>
  <c r="F106" i="2"/>
  <c r="F110" i="2"/>
  <c r="F114" i="2"/>
  <c r="F118" i="2"/>
  <c r="F122" i="2"/>
  <c r="F94" i="2"/>
  <c r="F97" i="2"/>
  <c r="F101" i="2"/>
  <c r="F105" i="2"/>
  <c r="F109" i="2"/>
  <c r="F113" i="2"/>
  <c r="F117" i="2"/>
  <c r="F121" i="2"/>
  <c r="F96" i="2"/>
  <c r="F100" i="2"/>
  <c r="F104" i="2"/>
  <c r="F108" i="2"/>
  <c r="F112" i="2"/>
  <c r="F116" i="2"/>
  <c r="F120" i="2"/>
  <c r="F124" i="2"/>
  <c r="F95" i="2"/>
  <c r="F99" i="2"/>
  <c r="F103" i="2"/>
  <c r="F107" i="2"/>
  <c r="F111" i="2"/>
  <c r="F115" i="2"/>
  <c r="F119" i="2"/>
  <c r="X60" i="2"/>
  <c r="X30" i="2"/>
  <c r="X40" i="2"/>
  <c r="X58" i="2"/>
  <c r="X20" i="2"/>
  <c r="AB20" i="2" s="1"/>
  <c r="X28" i="2"/>
  <c r="X36" i="2"/>
  <c r="X68" i="2"/>
  <c r="X54" i="2"/>
  <c r="X64" i="2"/>
  <c r="X66" i="2"/>
  <c r="X32" i="2"/>
  <c r="X42" i="2"/>
  <c r="X22" i="2"/>
  <c r="X44" i="2"/>
  <c r="X52" i="2"/>
  <c r="X62" i="2"/>
  <c r="X72" i="2"/>
  <c r="X24" i="2"/>
  <c r="X34" i="2"/>
  <c r="X26" i="2"/>
  <c r="X38" i="2"/>
  <c r="X48" i="2"/>
  <c r="X50" i="2"/>
  <c r="X70" i="2"/>
  <c r="X74" i="2"/>
  <c r="X76" i="2"/>
  <c r="X78" i="2"/>
  <c r="B98" i="2"/>
  <c r="B106" i="2"/>
  <c r="B114" i="2"/>
  <c r="B122" i="2"/>
  <c r="X46" i="2"/>
  <c r="X56" i="2"/>
  <c r="B102" i="2"/>
  <c r="B110" i="2"/>
  <c r="B118" i="2"/>
  <c r="AE18" i="2"/>
  <c r="B95" i="2"/>
  <c r="B99" i="2"/>
  <c r="B103" i="2"/>
  <c r="B107" i="2"/>
  <c r="B111" i="2"/>
  <c r="B115" i="2"/>
  <c r="B119" i="2"/>
  <c r="B123" i="2"/>
  <c r="AB18" i="2"/>
  <c r="B96" i="2"/>
  <c r="B100" i="2"/>
  <c r="B104" i="2"/>
  <c r="B108" i="2"/>
  <c r="B112" i="2"/>
  <c r="B116" i="2"/>
  <c r="B120" i="2"/>
  <c r="B124" i="2"/>
  <c r="B97" i="2"/>
  <c r="B101" i="2"/>
  <c r="B105" i="2"/>
  <c r="B109" i="2"/>
  <c r="B113" i="2"/>
  <c r="B117" i="2"/>
  <c r="D26" i="2"/>
  <c r="AE20" i="2" l="1"/>
  <c r="AI26" i="2" s="1"/>
  <c r="L125" i="2"/>
  <c r="F125" i="2"/>
  <c r="B125" i="2"/>
  <c r="AE22" i="2"/>
  <c r="AB22" i="2"/>
  <c r="D28" i="2"/>
  <c r="AI28" i="2" l="1"/>
  <c r="F12" i="2"/>
  <c r="AB24" i="2"/>
  <c r="AE24" i="2"/>
  <c r="D30" i="2"/>
  <c r="AI30" i="2" l="1"/>
  <c r="AB26" i="2"/>
  <c r="AE26" i="2"/>
  <c r="D32" i="2"/>
  <c r="AI32" i="2" l="1"/>
  <c r="AB28" i="2"/>
  <c r="AE28" i="2"/>
  <c r="D34" i="2"/>
  <c r="AI34" i="2" l="1"/>
  <c r="AE30" i="2"/>
  <c r="AB30" i="2"/>
  <c r="D36" i="2"/>
  <c r="AI36" i="2" l="1"/>
  <c r="AB32" i="2"/>
  <c r="AE32" i="2"/>
  <c r="D38" i="2"/>
  <c r="AB38" i="2" l="1"/>
  <c r="AI38" i="2"/>
  <c r="AB34" i="2"/>
  <c r="AE34" i="2"/>
  <c r="D40" i="2"/>
  <c r="AI40" i="2" l="1"/>
  <c r="AB36" i="2"/>
  <c r="AE36" i="2"/>
  <c r="D42" i="2"/>
  <c r="AI42" i="2" l="1"/>
  <c r="AE38" i="2"/>
  <c r="D44" i="2"/>
  <c r="AI44" i="2" l="1"/>
  <c r="AE40" i="2"/>
  <c r="AB40" i="2"/>
  <c r="D46" i="2"/>
  <c r="AI46" i="2" l="1"/>
  <c r="AB42" i="2"/>
  <c r="AE42" i="2"/>
  <c r="D48" i="2"/>
  <c r="AI48" i="2" l="1"/>
  <c r="AB44" i="2"/>
  <c r="AE44" i="2"/>
  <c r="D50" i="2"/>
  <c r="AI50" i="2" l="1"/>
  <c r="AE46" i="2"/>
  <c r="AB46" i="2"/>
  <c r="D52" i="2"/>
  <c r="AI52" i="2" l="1"/>
  <c r="AE48" i="2"/>
  <c r="AB48" i="2"/>
  <c r="D54" i="2"/>
  <c r="AI54" i="2" l="1"/>
  <c r="AB50" i="2"/>
  <c r="AE50" i="2"/>
  <c r="D56" i="2"/>
  <c r="AI56" i="2" l="1"/>
  <c r="AB52" i="2"/>
  <c r="AE52" i="2"/>
  <c r="D58" i="2"/>
  <c r="AI58" i="2" l="1"/>
  <c r="AE54" i="2"/>
  <c r="AB54" i="2"/>
  <c r="D60" i="2"/>
  <c r="AI60" i="2" l="1"/>
  <c r="AB56" i="2"/>
  <c r="AE56" i="2"/>
  <c r="D62" i="2"/>
  <c r="AI62" i="2" l="1"/>
  <c r="AB58" i="2"/>
  <c r="AE58" i="2"/>
  <c r="D64" i="2"/>
  <c r="AI64" i="2" l="1"/>
  <c r="AB60" i="2"/>
  <c r="AE60" i="2"/>
  <c r="D66" i="2"/>
  <c r="AI66" i="2" l="1"/>
  <c r="AE62" i="2"/>
  <c r="AB62" i="2"/>
  <c r="D68" i="2"/>
  <c r="AI68" i="2" l="1"/>
  <c r="AE64" i="2"/>
  <c r="AB64" i="2"/>
  <c r="D70" i="2"/>
  <c r="AI70" i="2" l="1"/>
  <c r="AB66" i="2"/>
  <c r="AE66" i="2"/>
  <c r="D72" i="2"/>
  <c r="AI72" i="2" l="1"/>
  <c r="AB68" i="2"/>
  <c r="AE68" i="2"/>
  <c r="D74" i="2"/>
  <c r="AI74" i="2" l="1"/>
  <c r="AE70" i="2"/>
  <c r="AB70" i="2"/>
  <c r="D76" i="2"/>
  <c r="AI76" i="2" l="1"/>
  <c r="AE72" i="2"/>
  <c r="AB72" i="2"/>
  <c r="D78" i="2"/>
  <c r="AI78" i="2" l="1"/>
  <c r="AI79" i="2" s="1"/>
  <c r="AE10" i="2" s="1"/>
  <c r="AB78" i="2"/>
  <c r="AB74" i="2"/>
  <c r="AE74" i="2"/>
  <c r="AB76" i="2" l="1"/>
  <c r="AB79" i="2" s="1"/>
  <c r="AE76" i="2"/>
  <c r="F10" i="2" l="1"/>
  <c r="AE78" i="2"/>
  <c r="AE79" i="2" l="1"/>
  <c r="R10"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Padrão</author>
  </authors>
  <commentList>
    <comment ref="B4" authorId="0" shapeId="0" xr:uid="{00000000-0006-0000-0000-000001000000}">
      <text>
        <r>
          <rPr>
            <b/>
            <sz val="9"/>
            <color indexed="81"/>
            <rFont val="Tahoma"/>
            <family val="2"/>
          </rPr>
          <t>Escolha o mês e o ano.
*Os dias do mês serão gerados automáticamente.*</t>
        </r>
      </text>
    </comment>
    <comment ref="D4" authorId="0" shapeId="0" xr:uid="{00000000-0006-0000-0000-000002000000}">
      <text>
        <r>
          <rPr>
            <b/>
            <sz val="9"/>
            <color indexed="81"/>
            <rFont val="Tahoma"/>
            <family val="2"/>
          </rPr>
          <t>Escolha o mês e o ano.
*Os dias do mês serão gerados automáticamente.*</t>
        </r>
      </text>
    </comment>
    <comment ref="R12" authorId="0" shapeId="0" xr:uid="{00000000-0006-0000-0000-000003000000}">
      <text>
        <r>
          <rPr>
            <b/>
            <sz val="9"/>
            <color indexed="81"/>
            <rFont val="Tahoma"/>
            <family val="2"/>
          </rPr>
          <t>Feriados fixos são gerados automaticamente.
Sinta-se livre para alterar.</t>
        </r>
      </text>
    </comment>
    <comment ref="X12" authorId="0" shapeId="0" xr:uid="{00000000-0006-0000-0000-000004000000}">
      <text>
        <r>
          <rPr>
            <b/>
            <sz val="9"/>
            <color indexed="81"/>
            <rFont val="Tahoma"/>
            <family val="2"/>
          </rPr>
          <t>Feriados fixos são gerados automaticamente.
Sinta-se livre para alterar.</t>
        </r>
      </text>
    </comment>
    <comment ref="AE12" authorId="0" shapeId="0" xr:uid="{00000000-0006-0000-0000-000005000000}">
      <text>
        <r>
          <rPr>
            <b/>
            <sz val="9"/>
            <color indexed="81"/>
            <rFont val="Tahoma"/>
            <family val="2"/>
          </rPr>
          <t>Feriados fixos são gerados automaticamente.
Sinta-se livre para alterar.</t>
        </r>
      </text>
    </comment>
  </commentList>
</comments>
</file>

<file path=xl/sharedStrings.xml><?xml version="1.0" encoding="utf-8"?>
<sst xmlns="http://schemas.openxmlformats.org/spreadsheetml/2006/main" count="22" uniqueCount="21">
  <si>
    <t>Domingo</t>
  </si>
  <si>
    <t>Entrada</t>
  </si>
  <si>
    <t>Saída</t>
  </si>
  <si>
    <t>Retorno</t>
  </si>
  <si>
    <t>Total</t>
  </si>
  <si>
    <t>Semanal</t>
  </si>
  <si>
    <t>Semana</t>
  </si>
  <si>
    <t>Jornada Diária</t>
  </si>
  <si>
    <t>Hora
Extra</t>
  </si>
  <si>
    <t>Relatório de Horas Trabalhadas no Mês</t>
  </si>
  <si>
    <t>Intervalo</t>
  </si>
  <si>
    <t>R e s u m o   d as   H o r a s   E x t r a s</t>
  </si>
  <si>
    <t>Feriado 3</t>
  </si>
  <si>
    <t>Feriado 1</t>
  </si>
  <si>
    <t>Feriados</t>
  </si>
  <si>
    <t>Feriado 2</t>
  </si>
  <si>
    <t>Dias:</t>
  </si>
  <si>
    <t>Nome do Funcionário</t>
  </si>
  <si>
    <t>Falta</t>
  </si>
  <si>
    <t>Hrs Totais</t>
  </si>
  <si>
    <t>SUA EMPRESA LTDA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</si>
</sst>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400]h:mm:ss\ AM/PM"/>
    <numFmt numFmtId="165" formatCode="h:mm;@"/>
    <numFmt numFmtId="166" formatCode="[h]:mm:ss;@"/>
  </numFmts>
  <fonts count="40" x14ac:knownFonts="1">
    <font>
      <sz val="11"/>
      <color theme="1"/>
      <name val="Calibri"/>
      <family val="2"/>
      <scheme val="minor"/>
    </font>
    <font>
      <sz val="11"/>
      <color theme="1"/>
      <name val="Arial"/>
      <family val="2"/>
    </font>
    <font>
      <sz val="9"/>
      <color theme="0"/>
      <name val="Calibri"/>
      <family val="2"/>
      <scheme val="minor"/>
    </font>
    <font>
      <sz val="9"/>
      <color theme="1"/>
      <name val="Berlin Sans FB"/>
      <family val="2"/>
    </font>
    <font>
      <sz val="11"/>
      <color theme="1"/>
      <name val="MS Sans Serif"/>
      <family val="2"/>
    </font>
    <font>
      <sz val="9"/>
      <color theme="1"/>
      <name val="MS Sans Serif"/>
      <family val="2"/>
    </font>
    <font>
      <b/>
      <sz val="14"/>
      <color theme="1"/>
      <name val="MS Sans Serif"/>
      <family val="2"/>
    </font>
    <font>
      <sz val="14"/>
      <color theme="4" tint="-0.249977111117893"/>
      <name val="MS Sans Serif"/>
      <family val="2"/>
    </font>
    <font>
      <sz val="14"/>
      <color theme="1"/>
      <name val="MS Sans Serif"/>
      <family val="2"/>
    </font>
    <font>
      <b/>
      <u/>
      <sz val="12"/>
      <color theme="8" tint="0.39997558519241921"/>
      <name val="MS Sans Serif"/>
      <family val="2"/>
    </font>
    <font>
      <sz val="8"/>
      <color theme="1"/>
      <name val="MS Sans Serif"/>
      <family val="2"/>
    </font>
    <font>
      <sz val="8"/>
      <color theme="4" tint="-0.249977111117893"/>
      <name val="MS Sans Serif"/>
      <family val="2"/>
    </font>
    <font>
      <sz val="8"/>
      <color theme="0"/>
      <name val="MS Sans Serif"/>
      <family val="2"/>
    </font>
    <font>
      <sz val="10"/>
      <color theme="1"/>
      <name val="MS Sans Serif"/>
      <family val="2"/>
    </font>
    <font>
      <b/>
      <sz val="12"/>
      <color theme="0" tint="-4.9989318521683403E-2"/>
      <name val="Microsoft New Tai Lue"/>
      <family val="2"/>
    </font>
    <font>
      <b/>
      <sz val="12"/>
      <color theme="0" tint="-4.9989318521683403E-2"/>
      <name val="MS Sans Serif"/>
      <family val="2"/>
    </font>
    <font>
      <b/>
      <sz val="10"/>
      <color theme="0" tint="-4.9989318521683403E-2"/>
      <name val="MS Sans Serif"/>
      <family val="2"/>
    </font>
    <font>
      <sz val="8"/>
      <color theme="0" tint="-4.9989318521683403E-2"/>
      <name val="MS Sans Serif"/>
      <family val="2"/>
    </font>
    <font>
      <sz val="7"/>
      <color theme="0" tint="-4.9989318521683403E-2"/>
      <name val="MS Sans Serif"/>
      <family val="2"/>
    </font>
    <font>
      <b/>
      <sz val="9"/>
      <color indexed="81"/>
      <name val="Tahoma"/>
      <family val="2"/>
    </font>
    <font>
      <b/>
      <sz val="14"/>
      <color theme="3" tint="0.39997558519241921"/>
      <name val="MS Sans Serif"/>
      <family val="2"/>
    </font>
    <font>
      <sz val="14"/>
      <color theme="0" tint="-4.9989318521683403E-2"/>
      <name val="MS Sans Serif"/>
      <family val="2"/>
    </font>
    <font>
      <b/>
      <i/>
      <sz val="14"/>
      <color theme="0" tint="-4.9989318521683403E-2"/>
      <name val="Verdana"/>
      <family val="2"/>
    </font>
    <font>
      <sz val="11"/>
      <color theme="3" tint="0.39997558519241921"/>
      <name val="MS Sans Serif"/>
      <family val="2"/>
    </font>
    <font>
      <sz val="9"/>
      <name val="MS Sans Serif"/>
      <family val="2"/>
    </font>
    <font>
      <sz val="10"/>
      <name val="MS Sans Serif"/>
      <family val="2"/>
    </font>
    <font>
      <i/>
      <sz val="9"/>
      <color theme="1"/>
      <name val="Arial"/>
      <family val="2"/>
    </font>
    <font>
      <b/>
      <sz val="11"/>
      <name val="MS Sans Serif"/>
      <family val="2"/>
    </font>
    <font>
      <sz val="11"/>
      <name val="MS Sans Serif"/>
      <family val="2"/>
    </font>
    <font>
      <sz val="14"/>
      <name val="MS Sans Serif"/>
      <family val="2"/>
    </font>
    <font>
      <b/>
      <sz val="9"/>
      <color theme="1"/>
      <name val="Calibri"/>
      <family val="2"/>
      <scheme val="minor"/>
    </font>
    <font>
      <b/>
      <i/>
      <sz val="11"/>
      <color theme="1"/>
      <name val="Calibri"/>
      <scheme val="minor"/>
    </font>
    <font>
      <sz val="12"/>
      <color theme="1"/>
      <name val="Calibri"/>
      <family val="2"/>
      <scheme val="minor"/>
    </font>
    <font>
      <sz val="8.5"/>
      <color theme="1"/>
      <name val="MS Sans Serif"/>
      <family val="2"/>
    </font>
    <font>
      <b/>
      <sz val="8.5"/>
      <color theme="1"/>
      <name val="MS Sans Serif"/>
      <family val="2"/>
    </font>
    <font>
      <sz val="8.5"/>
      <color theme="1"/>
      <name val="Calibri"/>
      <family val="2"/>
      <scheme val="minor"/>
    </font>
    <font>
      <sz val="8.5"/>
      <color theme="0"/>
      <name val="MS Sans Serif"/>
      <family val="2"/>
    </font>
    <font>
      <sz val="8.5"/>
      <color theme="1"/>
      <name val="Berlin Sans FB"/>
      <family val="2"/>
    </font>
    <font>
      <sz val="9"/>
      <color theme="1"/>
      <name val="Calibri"/>
      <family val="2"/>
      <scheme val="minor"/>
    </font>
    <font>
      <b/>
      <i/>
      <sz val="11"/>
      <color theme="1"/>
      <name val="Calibri"/>
      <family val="2"/>
      <scheme val="minor"/>
    </font>
  </fonts>
  <fills count="10">
    <fill>
      <patternFill patternType="none"/>
    </fill>
    <fill>
      <patternFill patternType="gray125"/>
    </fill>
    <fill>
      <patternFill patternType="solid">
        <fgColor theme="3"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theme="1"/>
        <bgColor indexed="64"/>
      </patternFill>
    </fill>
    <fill>
      <patternFill patternType="solid">
        <fgColor rgb="FFEAEAEA"/>
        <bgColor indexed="64"/>
      </patternFill>
    </fill>
    <fill>
      <patternFill patternType="solid">
        <fgColor rgb="FFE6E6E6"/>
        <bgColor indexed="64"/>
      </patternFill>
    </fill>
    <fill>
      <patternFill patternType="solid">
        <fgColor rgb="FFDCDCDC"/>
        <bgColor indexed="64"/>
      </patternFill>
    </fill>
    <fill>
      <patternFill patternType="solid">
        <fgColor theme="0" tint="-0.14999847407452621"/>
        <bgColor indexed="64"/>
      </patternFill>
    </fill>
  </fills>
  <borders count="45">
    <border>
      <left/>
      <right/>
      <top/>
      <bottom/>
      <diagonal/>
    </border>
    <border>
      <left/>
      <right style="medium">
        <color theme="4" tint="0.79998168889431442"/>
      </right>
      <top/>
      <bottom style="medium">
        <color theme="4" tint="0.79998168889431442"/>
      </bottom>
      <diagonal/>
    </border>
    <border>
      <left/>
      <right style="medium">
        <color theme="4" tint="0.79998168889431442"/>
      </right>
      <top/>
      <bottom style="thin">
        <color theme="4" tint="-0.24994659260841701"/>
      </bottom>
      <diagonal/>
    </border>
    <border>
      <left style="medium">
        <color theme="4" tint="0.79998168889431442"/>
      </left>
      <right style="thin">
        <color theme="4" tint="-0.24994659260841701"/>
      </right>
      <top/>
      <bottom style="thin">
        <color theme="4" tint="-0.24994659260841701"/>
      </bottom>
      <diagonal/>
    </border>
    <border>
      <left style="medium">
        <color theme="4" tint="0.79998168889431442"/>
      </left>
      <right style="thin">
        <color theme="4" tint="-0.24994659260841701"/>
      </right>
      <top/>
      <bottom style="medium">
        <color theme="4" tint="0.79998168889431442"/>
      </bottom>
      <diagonal/>
    </border>
    <border>
      <left/>
      <right/>
      <top/>
      <bottom style="medium">
        <color theme="4" tint="0.39994506668294322"/>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ashed">
        <color auto="1"/>
      </left>
      <right/>
      <top style="dashed">
        <color auto="1"/>
      </top>
      <bottom style="dashed">
        <color auto="1"/>
      </bottom>
      <diagonal/>
    </border>
    <border>
      <left/>
      <right/>
      <top style="dashed">
        <color auto="1"/>
      </top>
      <bottom style="dashed">
        <color auto="1"/>
      </bottom>
      <diagonal/>
    </border>
    <border>
      <left/>
      <right style="dashed">
        <color auto="1"/>
      </right>
      <top style="dashed">
        <color auto="1"/>
      </top>
      <bottom style="dashed">
        <color auto="1"/>
      </bottom>
      <diagonal/>
    </border>
    <border>
      <left style="medium">
        <color theme="0" tint="-0.14996795556505021"/>
      </left>
      <right/>
      <top style="medium">
        <color theme="0" tint="-0.14996795556505021"/>
      </top>
      <bottom style="medium">
        <color theme="1"/>
      </bottom>
      <diagonal/>
    </border>
    <border>
      <left/>
      <right/>
      <top style="medium">
        <color theme="0" tint="-0.14996795556505021"/>
      </top>
      <bottom style="medium">
        <color theme="1"/>
      </bottom>
      <diagonal/>
    </border>
    <border>
      <left/>
      <right style="medium">
        <color theme="1"/>
      </right>
      <top style="medium">
        <color theme="0" tint="-0.14996795556505021"/>
      </top>
      <bottom style="medium">
        <color theme="1"/>
      </bottom>
      <diagonal/>
    </border>
    <border>
      <left style="medium">
        <color theme="0" tint="-0.14996795556505021"/>
      </left>
      <right/>
      <top style="medium">
        <color theme="0" tint="-0.14996795556505021"/>
      </top>
      <bottom style="medium">
        <color theme="0" tint="-0.499984740745262"/>
      </bottom>
      <diagonal/>
    </border>
    <border>
      <left/>
      <right style="medium">
        <color theme="0" tint="-0.499984740745262"/>
      </right>
      <top style="medium">
        <color theme="0" tint="-0.14996795556505021"/>
      </top>
      <bottom style="medium">
        <color theme="0" tint="-0.499984740745262"/>
      </bottom>
      <diagonal/>
    </border>
    <border>
      <left style="medium">
        <color theme="0" tint="-0.14996795556505021"/>
      </left>
      <right style="medium">
        <color theme="4" tint="0.39994506668294322"/>
      </right>
      <top style="medium">
        <color theme="0" tint="-0.14996795556505021"/>
      </top>
      <bottom style="medium">
        <color theme="0" tint="-0.499984740745262"/>
      </bottom>
      <diagonal/>
    </border>
    <border>
      <left style="medium">
        <color theme="4" tint="0.39994506668294322"/>
      </left>
      <right style="medium">
        <color theme="0" tint="-0.499984740745262"/>
      </right>
      <top style="medium">
        <color theme="0" tint="-0.14996795556505021"/>
      </top>
      <bottom style="medium">
        <color theme="0" tint="-0.499984740745262"/>
      </bottom>
      <diagonal/>
    </border>
    <border>
      <left/>
      <right/>
      <top style="medium">
        <color theme="0" tint="-0.14996795556505021"/>
      </top>
      <bottom style="medium">
        <color theme="0" tint="-0.499984740745262"/>
      </bottom>
      <diagonal/>
    </border>
    <border>
      <left style="medium">
        <color theme="0" tint="-0.14996795556505021"/>
      </left>
      <right/>
      <top/>
      <bottom style="medium">
        <color theme="0" tint="-0.499984740745262"/>
      </bottom>
      <diagonal/>
    </border>
    <border>
      <left/>
      <right style="medium">
        <color theme="0" tint="-0.499984740745262"/>
      </right>
      <top/>
      <bottom style="medium">
        <color theme="0" tint="-0.499984740745262"/>
      </bottom>
      <diagonal/>
    </border>
    <border>
      <left/>
      <right style="medium">
        <color theme="4" tint="0.79998168889431442"/>
      </right>
      <top/>
      <bottom style="thin">
        <color auto="1"/>
      </bottom>
      <diagonal/>
    </border>
    <border>
      <left style="medium">
        <color theme="4" tint="0.79998168889431442"/>
      </left>
      <right style="thin">
        <color auto="1"/>
      </right>
      <top/>
      <bottom style="thin">
        <color auto="1"/>
      </bottom>
      <diagonal/>
    </border>
    <border>
      <left/>
      <right style="medium">
        <color theme="4" tint="0.79998168889431442"/>
      </right>
      <top/>
      <bottom style="thin">
        <color theme="1"/>
      </bottom>
      <diagonal/>
    </border>
    <border>
      <left style="medium">
        <color theme="4" tint="0.79998168889431442"/>
      </left>
      <right style="thin">
        <color theme="1"/>
      </right>
      <top/>
      <bottom style="thin">
        <color theme="1"/>
      </bottom>
      <diagonal/>
    </border>
    <border>
      <left/>
      <right/>
      <top style="medium">
        <color theme="0" tint="-0.14996795556505021"/>
      </top>
      <bottom style="medium">
        <color theme="3" tint="-0.24994659260841701"/>
      </bottom>
      <diagonal/>
    </border>
    <border>
      <left/>
      <right style="medium">
        <color theme="3" tint="-0.24994659260841701"/>
      </right>
      <top style="medium">
        <color theme="0" tint="-0.14996795556505021"/>
      </top>
      <bottom style="medium">
        <color theme="3" tint="-0.24994659260841701"/>
      </bottom>
      <diagonal/>
    </border>
    <border>
      <left/>
      <right style="thin">
        <color theme="1"/>
      </right>
      <top/>
      <bottom style="thin">
        <color theme="1"/>
      </bottom>
      <diagonal/>
    </border>
    <border>
      <left/>
      <right/>
      <top/>
      <bottom style="thin">
        <color theme="1"/>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ck">
        <color rgb="FFEAEAEA"/>
      </left>
      <right style="medium">
        <color auto="1"/>
      </right>
      <top style="thick">
        <color rgb="FFEAEAEA"/>
      </top>
      <bottom style="medium">
        <color auto="1"/>
      </bottom>
      <diagonal/>
    </border>
    <border>
      <left style="medium">
        <color rgb="FFEAEAEA"/>
      </left>
      <right style="medium">
        <color auto="1"/>
      </right>
      <top style="medium">
        <color rgb="FFEAEAEA"/>
      </top>
      <bottom style="medium">
        <color auto="1"/>
      </bottom>
      <diagonal/>
    </border>
    <border>
      <left style="medium">
        <color rgb="FFEAEAEA"/>
      </left>
      <right/>
      <top style="medium">
        <color rgb="FFEAEAEA"/>
      </top>
      <bottom style="medium">
        <color auto="1"/>
      </bottom>
      <diagonal/>
    </border>
    <border>
      <left/>
      <right/>
      <top style="medium">
        <color rgb="FFEAEAEA"/>
      </top>
      <bottom style="medium">
        <color auto="1"/>
      </bottom>
      <diagonal/>
    </border>
    <border>
      <left/>
      <right style="medium">
        <color auto="1"/>
      </right>
      <top style="medium">
        <color rgb="FFEAEAEA"/>
      </top>
      <bottom style="medium">
        <color auto="1"/>
      </bottom>
      <diagonal/>
    </border>
    <border>
      <left style="medium">
        <color theme="0" tint="-0.14993743705557422"/>
      </left>
      <right/>
      <top style="medium">
        <color theme="0" tint="-0.14996795556505021"/>
      </top>
      <bottom style="medium">
        <color theme="3" tint="-0.24994659260841701"/>
      </bottom>
      <diagonal/>
    </border>
    <border>
      <left style="medium">
        <color theme="4" tint="0.79998168889431442"/>
      </left>
      <right style="medium">
        <color theme="1"/>
      </right>
      <top/>
      <bottom style="thin">
        <color auto="1"/>
      </bottom>
      <diagonal/>
    </border>
    <border>
      <left/>
      <right/>
      <top style="thin">
        <color theme="1"/>
      </top>
      <bottom/>
      <diagonal/>
    </border>
  </borders>
  <cellStyleXfs count="1">
    <xf numFmtId="0" fontId="0" fillId="0" borderId="0"/>
  </cellStyleXfs>
  <cellXfs count="124">
    <xf numFmtId="0" fontId="0" fillId="0" borderId="0" xfId="0"/>
    <xf numFmtId="0" fontId="5" fillId="0" borderId="0" xfId="0" applyFont="1" applyAlignment="1">
      <alignment horizontal="center" vertical="center"/>
    </xf>
    <xf numFmtId="0" fontId="9" fillId="0" borderId="0" xfId="0" applyFont="1" applyAlignment="1">
      <alignment horizontal="center" vertical="center"/>
    </xf>
    <xf numFmtId="0" fontId="8" fillId="0" borderId="0" xfId="0" applyFont="1" applyAlignment="1">
      <alignment horizontal="center" vertical="center"/>
    </xf>
    <xf numFmtId="0" fontId="3" fillId="0" borderId="0" xfId="0" applyFont="1" applyAlignment="1">
      <alignment horizontal="center"/>
    </xf>
    <xf numFmtId="0" fontId="5" fillId="0" borderId="0" xfId="0" applyFont="1" applyAlignment="1">
      <alignment horizontal="center"/>
    </xf>
    <xf numFmtId="0" fontId="6" fillId="0" borderId="0" xfId="0" applyFont="1" applyAlignment="1">
      <alignment horizontal="center" vertical="center"/>
    </xf>
    <xf numFmtId="0" fontId="4" fillId="0" borderId="0" xfId="0" applyFont="1" applyAlignment="1">
      <alignment horizontal="center"/>
    </xf>
    <xf numFmtId="0" fontId="0" fillId="0" borderId="0" xfId="0" applyAlignment="1">
      <alignment horizontal="center"/>
    </xf>
    <xf numFmtId="0" fontId="10" fillId="0" borderId="0" xfId="0" applyFont="1" applyAlignment="1">
      <alignment horizontal="center"/>
    </xf>
    <xf numFmtId="0" fontId="11" fillId="4" borderId="5" xfId="0" applyFont="1" applyFill="1" applyBorder="1" applyAlignment="1">
      <alignment horizontal="center" vertical="center" wrapText="1"/>
    </xf>
    <xf numFmtId="0" fontId="12" fillId="0" borderId="0" xfId="0" applyFont="1" applyAlignment="1">
      <alignment horizontal="center"/>
    </xf>
    <xf numFmtId="165" fontId="13" fillId="0" borderId="0" xfId="0" applyNumberFormat="1" applyFont="1" applyAlignment="1">
      <alignment horizontal="center"/>
    </xf>
    <xf numFmtId="20" fontId="5" fillId="0" borderId="0" xfId="0" applyNumberFormat="1" applyFont="1" applyAlignment="1">
      <alignment horizontal="center"/>
    </xf>
    <xf numFmtId="0" fontId="1" fillId="0" borderId="0" xfId="0" applyFont="1" applyAlignment="1">
      <alignment horizontal="center"/>
    </xf>
    <xf numFmtId="0" fontId="2" fillId="2" borderId="0" xfId="0" applyFont="1" applyFill="1" applyAlignment="1">
      <alignment horizontal="center"/>
    </xf>
    <xf numFmtId="0" fontId="20" fillId="0" borderId="0" xfId="0" applyFont="1" applyAlignment="1">
      <alignment vertical="center"/>
    </xf>
    <xf numFmtId="0" fontId="7" fillId="0" borderId="0" xfId="0" applyFont="1" applyAlignment="1" applyProtection="1">
      <alignment vertical="center"/>
      <protection locked="0"/>
    </xf>
    <xf numFmtId="0" fontId="3" fillId="0" borderId="0" xfId="0" applyFont="1"/>
    <xf numFmtId="0" fontId="28" fillId="0" borderId="0" xfId="0" applyFont="1" applyAlignment="1">
      <alignment horizontal="center"/>
    </xf>
    <xf numFmtId="0" fontId="23" fillId="0" borderId="0" xfId="0" applyFont="1" applyAlignment="1">
      <alignment horizontal="center"/>
    </xf>
    <xf numFmtId="0" fontId="27" fillId="6" borderId="13" xfId="0" applyFont="1" applyFill="1" applyBorder="1" applyAlignment="1">
      <alignment horizontal="center"/>
    </xf>
    <xf numFmtId="0" fontId="24" fillId="0" borderId="35" xfId="0" applyFont="1" applyBorder="1" applyAlignment="1">
      <alignment horizontal="center"/>
    </xf>
    <xf numFmtId="0" fontId="4" fillId="0" borderId="7" xfId="0" applyFont="1" applyBorder="1" applyAlignment="1">
      <alignment horizontal="center"/>
    </xf>
    <xf numFmtId="0" fontId="5" fillId="0" borderId="8" xfId="0" applyFont="1" applyBorder="1" applyAlignment="1">
      <alignment horizontal="center"/>
    </xf>
    <xf numFmtId="0" fontId="5" fillId="0" borderId="9" xfId="0" applyFont="1" applyBorder="1" applyAlignment="1">
      <alignment horizontal="center"/>
    </xf>
    <xf numFmtId="0" fontId="4" fillId="0" borderId="10" xfId="0" applyFont="1" applyBorder="1" applyAlignment="1">
      <alignment horizontal="center" vertical="center"/>
    </xf>
    <xf numFmtId="0" fontId="4" fillId="0" borderId="11" xfId="0" applyFont="1" applyBorder="1" applyAlignment="1">
      <alignment horizontal="center" vertical="center"/>
    </xf>
    <xf numFmtId="0" fontId="4" fillId="0" borderId="10" xfId="0" applyFont="1" applyBorder="1" applyAlignment="1">
      <alignment horizontal="center"/>
    </xf>
    <xf numFmtId="0" fontId="5" fillId="0" borderId="11" xfId="0" applyFont="1" applyBorder="1" applyAlignment="1">
      <alignment horizontal="center"/>
    </xf>
    <xf numFmtId="0" fontId="6" fillId="0" borderId="10" xfId="0" applyFont="1" applyBorder="1" applyAlignment="1">
      <alignment horizontal="center" vertical="center"/>
    </xf>
    <xf numFmtId="0" fontId="6" fillId="0" borderId="11" xfId="0" applyFont="1" applyBorder="1" applyAlignment="1">
      <alignment horizontal="center" vertical="center"/>
    </xf>
    <xf numFmtId="0" fontId="4" fillId="0" borderId="11" xfId="0" applyFont="1" applyBorder="1" applyAlignment="1">
      <alignment horizontal="center"/>
    </xf>
    <xf numFmtId="0" fontId="8" fillId="0" borderId="10" xfId="0" applyFont="1" applyBorder="1" applyAlignment="1">
      <alignment horizontal="center" vertical="center"/>
    </xf>
    <xf numFmtId="0" fontId="8" fillId="0" borderId="11" xfId="0" applyFont="1"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10" fillId="0" borderId="10" xfId="0" applyFont="1" applyBorder="1" applyAlignment="1">
      <alignment horizontal="center"/>
    </xf>
    <xf numFmtId="0" fontId="12" fillId="0" borderId="11" xfId="0" applyFont="1" applyBorder="1" applyAlignment="1">
      <alignment horizontal="center"/>
    </xf>
    <xf numFmtId="0" fontId="0" fillId="0" borderId="12" xfId="0" applyBorder="1" applyAlignment="1">
      <alignment horizontal="center"/>
    </xf>
    <xf numFmtId="0" fontId="3" fillId="0" borderId="6" xfId="0" applyFont="1" applyBorder="1" applyAlignment="1">
      <alignment horizontal="center"/>
    </xf>
    <xf numFmtId="0" fontId="3" fillId="0" borderId="13" xfId="0" applyFont="1" applyBorder="1" applyAlignment="1">
      <alignment horizontal="center"/>
    </xf>
    <xf numFmtId="0" fontId="0" fillId="0" borderId="36" xfId="0" applyBorder="1" applyAlignment="1">
      <alignment horizontal="center"/>
    </xf>
    <xf numFmtId="0" fontId="4" fillId="0" borderId="36" xfId="0" applyFont="1" applyBorder="1" applyAlignment="1">
      <alignment horizontal="center"/>
    </xf>
    <xf numFmtId="20" fontId="4" fillId="0" borderId="0" xfId="0" applyNumberFormat="1" applyFont="1" applyAlignment="1">
      <alignment horizontal="center"/>
    </xf>
    <xf numFmtId="0" fontId="32" fillId="9" borderId="37" xfId="0" applyFont="1" applyFill="1" applyBorder="1" applyAlignment="1" applyProtection="1">
      <alignment horizontal="center" vertical="center"/>
      <protection locked="0"/>
    </xf>
    <xf numFmtId="0" fontId="33" fillId="0" borderId="0" xfId="0" applyFont="1" applyAlignment="1">
      <alignment horizontal="center"/>
    </xf>
    <xf numFmtId="0" fontId="33" fillId="0" borderId="0" xfId="0" applyFont="1" applyAlignment="1">
      <alignment horizontal="center" vertical="center"/>
    </xf>
    <xf numFmtId="0" fontId="34" fillId="0" borderId="0" xfId="0" applyFont="1" applyAlignment="1">
      <alignment horizontal="center" vertical="center"/>
    </xf>
    <xf numFmtId="0" fontId="35" fillId="0" borderId="0" xfId="0" applyFont="1" applyAlignment="1">
      <alignment horizontal="center"/>
    </xf>
    <xf numFmtId="0" fontId="36" fillId="0" borderId="0" xfId="0" applyFont="1" applyAlignment="1">
      <alignment horizontal="center"/>
    </xf>
    <xf numFmtId="0" fontId="37" fillId="0" borderId="0" xfId="0" applyFont="1" applyAlignment="1">
      <alignment horizontal="center"/>
    </xf>
    <xf numFmtId="0" fontId="38" fillId="8" borderId="38" xfId="0" applyFont="1" applyFill="1" applyBorder="1" applyAlignment="1" applyProtection="1">
      <alignment horizontal="center" vertical="center"/>
      <protection locked="0"/>
    </xf>
    <xf numFmtId="0" fontId="31" fillId="0" borderId="0" xfId="0" applyFont="1" applyProtection="1">
      <protection locked="0"/>
    </xf>
    <xf numFmtId="0" fontId="31" fillId="0" borderId="6" xfId="0" applyFont="1" applyBorder="1" applyProtection="1">
      <protection locked="0"/>
    </xf>
    <xf numFmtId="164" fontId="5" fillId="0" borderId="10" xfId="0" applyNumberFormat="1" applyFont="1" applyBorder="1" applyAlignment="1">
      <alignment horizontal="center"/>
    </xf>
    <xf numFmtId="164" fontId="5" fillId="0" borderId="0" xfId="0" applyNumberFormat="1" applyFont="1" applyAlignment="1">
      <alignment horizontal="center"/>
    </xf>
    <xf numFmtId="164" fontId="5" fillId="0" borderId="11" xfId="0" applyNumberFormat="1" applyFont="1" applyBorder="1" applyAlignment="1">
      <alignment horizontal="center"/>
    </xf>
    <xf numFmtId="164" fontId="5" fillId="0" borderId="12" xfId="0" applyNumberFormat="1" applyFont="1" applyBorder="1" applyAlignment="1">
      <alignment horizontal="center"/>
    </xf>
    <xf numFmtId="164" fontId="5" fillId="0" borderId="6" xfId="0" applyNumberFormat="1" applyFont="1" applyBorder="1" applyAlignment="1">
      <alignment horizontal="center"/>
    </xf>
    <xf numFmtId="164" fontId="5" fillId="0" borderId="13" xfId="0" applyNumberFormat="1" applyFont="1" applyBorder="1" applyAlignment="1">
      <alignment horizontal="center"/>
    </xf>
    <xf numFmtId="0" fontId="3" fillId="0" borderId="0" xfId="0" applyFont="1" applyAlignment="1">
      <alignment horizontal="center"/>
    </xf>
    <xf numFmtId="164" fontId="5" fillId="0" borderId="7" xfId="0" applyNumberFormat="1" applyFont="1" applyBorder="1" applyAlignment="1">
      <alignment horizontal="center"/>
    </xf>
    <xf numFmtId="164" fontId="5" fillId="0" borderId="8" xfId="0" applyNumberFormat="1" applyFont="1" applyBorder="1" applyAlignment="1">
      <alignment horizontal="center"/>
    </xf>
    <xf numFmtId="164" fontId="5" fillId="0" borderId="9" xfId="0" applyNumberFormat="1" applyFont="1" applyBorder="1" applyAlignment="1">
      <alignment horizontal="center"/>
    </xf>
    <xf numFmtId="165" fontId="13" fillId="0" borderId="6" xfId="0" applyNumberFormat="1" applyFont="1" applyBorder="1" applyAlignment="1" applyProtection="1">
      <alignment horizontal="center"/>
      <protection locked="0"/>
    </xf>
    <xf numFmtId="165" fontId="13" fillId="0" borderId="13" xfId="0" applyNumberFormat="1" applyFont="1" applyBorder="1" applyAlignment="1" applyProtection="1">
      <alignment horizontal="center"/>
      <protection locked="0"/>
    </xf>
    <xf numFmtId="0" fontId="6" fillId="0" borderId="17" xfId="0" applyFont="1" applyBorder="1" applyAlignment="1">
      <alignment horizontal="center" vertical="center"/>
    </xf>
    <xf numFmtId="0" fontId="6" fillId="0" borderId="18" xfId="0" applyFont="1" applyBorder="1" applyAlignment="1">
      <alignment horizontal="center" vertical="center"/>
    </xf>
    <xf numFmtId="0" fontId="6" fillId="0" borderId="19" xfId="0" applyFont="1" applyBorder="1" applyAlignment="1">
      <alignment horizontal="center" vertical="center"/>
    </xf>
    <xf numFmtId="0" fontId="29" fillId="0" borderId="14" xfId="0" applyFont="1" applyBorder="1" applyAlignment="1" applyProtection="1">
      <alignment horizontal="center" vertical="center"/>
      <protection locked="0"/>
    </xf>
    <xf numFmtId="0" fontId="29" fillId="0" borderId="15" xfId="0" applyFont="1" applyBorder="1" applyAlignment="1" applyProtection="1">
      <alignment horizontal="center" vertical="center"/>
      <protection locked="0"/>
    </xf>
    <xf numFmtId="0" fontId="29" fillId="0" borderId="16" xfId="0" applyFont="1" applyBorder="1" applyAlignment="1" applyProtection="1">
      <alignment horizontal="center" vertical="center"/>
      <protection locked="0"/>
    </xf>
    <xf numFmtId="165" fontId="25" fillId="0" borderId="6" xfId="0" applyNumberFormat="1" applyFont="1" applyBorder="1" applyAlignment="1">
      <alignment horizontal="center"/>
    </xf>
    <xf numFmtId="165" fontId="25" fillId="0" borderId="13" xfId="0" applyNumberFormat="1" applyFont="1" applyBorder="1" applyAlignment="1">
      <alignment horizontal="center"/>
    </xf>
    <xf numFmtId="165" fontId="25" fillId="0" borderId="34" xfId="0" applyNumberFormat="1" applyFont="1" applyBorder="1" applyAlignment="1">
      <alignment horizontal="center"/>
    </xf>
    <xf numFmtId="165" fontId="25" fillId="0" borderId="33" xfId="0" applyNumberFormat="1" applyFont="1" applyBorder="1" applyAlignment="1">
      <alignment horizontal="center"/>
    </xf>
    <xf numFmtId="166" fontId="13" fillId="7" borderId="2" xfId="0" applyNumberFormat="1" applyFont="1" applyFill="1" applyBorder="1" applyAlignment="1">
      <alignment horizontal="center"/>
    </xf>
    <xf numFmtId="166" fontId="13" fillId="7" borderId="3" xfId="0" applyNumberFormat="1" applyFont="1" applyFill="1" applyBorder="1" applyAlignment="1">
      <alignment horizontal="center"/>
    </xf>
    <xf numFmtId="0" fontId="5" fillId="0" borderId="0" xfId="0" applyFont="1" applyAlignment="1">
      <alignment horizontal="center"/>
    </xf>
    <xf numFmtId="165" fontId="26" fillId="8" borderId="27" xfId="0" applyNumberFormat="1" applyFont="1" applyFill="1" applyBorder="1" applyAlignment="1">
      <alignment horizontal="center"/>
    </xf>
    <xf numFmtId="165" fontId="26" fillId="8" borderId="28" xfId="0" applyNumberFormat="1" applyFont="1" applyFill="1" applyBorder="1" applyAlignment="1">
      <alignment horizontal="center"/>
    </xf>
    <xf numFmtId="166" fontId="30" fillId="9" borderId="25" xfId="0" applyNumberFormat="1" applyFont="1" applyFill="1" applyBorder="1" applyAlignment="1">
      <alignment horizontal="center"/>
    </xf>
    <xf numFmtId="166" fontId="30" fillId="9" borderId="26" xfId="0" applyNumberFormat="1" applyFont="1" applyFill="1" applyBorder="1" applyAlignment="1">
      <alignment horizontal="center"/>
    </xf>
    <xf numFmtId="166" fontId="13" fillId="7" borderId="27" xfId="0" applyNumberFormat="1" applyFont="1" applyFill="1" applyBorder="1" applyAlignment="1">
      <alignment horizontal="center"/>
    </xf>
    <xf numFmtId="166" fontId="13" fillId="7" borderId="28" xfId="0" applyNumberFormat="1" applyFont="1" applyFill="1" applyBorder="1" applyAlignment="1">
      <alignment horizontal="center"/>
    </xf>
    <xf numFmtId="165" fontId="13" fillId="7" borderId="27" xfId="0" applyNumberFormat="1" applyFont="1" applyFill="1" applyBorder="1" applyAlignment="1">
      <alignment horizontal="center"/>
    </xf>
    <xf numFmtId="165" fontId="13" fillId="7" borderId="43" xfId="0" applyNumberFormat="1" applyFont="1" applyFill="1" applyBorder="1" applyAlignment="1">
      <alignment horizontal="center"/>
    </xf>
    <xf numFmtId="165" fontId="25" fillId="3" borderId="29" xfId="0" applyNumberFormat="1" applyFont="1" applyFill="1" applyBorder="1" applyAlignment="1">
      <alignment horizontal="center"/>
    </xf>
    <xf numFmtId="165" fontId="25" fillId="3" borderId="30" xfId="0" applyNumberFormat="1" applyFont="1" applyFill="1" applyBorder="1" applyAlignment="1">
      <alignment horizontal="center"/>
    </xf>
    <xf numFmtId="165" fontId="13" fillId="7" borderId="2" xfId="0" applyNumberFormat="1" applyFont="1" applyFill="1" applyBorder="1" applyAlignment="1">
      <alignment horizontal="center"/>
    </xf>
    <xf numFmtId="165" fontId="13" fillId="7" borderId="3" xfId="0" applyNumberFormat="1" applyFont="1" applyFill="1" applyBorder="1" applyAlignment="1">
      <alignment horizontal="center"/>
    </xf>
    <xf numFmtId="0" fontId="39" fillId="0" borderId="0" xfId="0" applyFont="1" applyAlignment="1" applyProtection="1">
      <alignment horizontal="center"/>
      <protection locked="0"/>
    </xf>
    <xf numFmtId="0" fontId="31" fillId="0" borderId="8" xfId="0" applyFont="1" applyBorder="1" applyAlignment="1" applyProtection="1">
      <alignment horizontal="center"/>
      <protection locked="0"/>
    </xf>
    <xf numFmtId="0" fontId="31" fillId="0" borderId="44" xfId="0" applyFont="1" applyBorder="1" applyAlignment="1" applyProtection="1">
      <alignment horizontal="center"/>
      <protection locked="0"/>
    </xf>
    <xf numFmtId="165" fontId="13" fillId="7" borderId="1" xfId="0" applyNumberFormat="1" applyFont="1" applyFill="1" applyBorder="1" applyAlignment="1">
      <alignment horizontal="center"/>
    </xf>
    <xf numFmtId="165" fontId="13" fillId="7" borderId="4" xfId="0" applyNumberFormat="1" applyFont="1" applyFill="1" applyBorder="1" applyAlignment="1">
      <alignment horizontal="center"/>
    </xf>
    <xf numFmtId="0" fontId="17" fillId="5" borderId="20" xfId="0" applyFont="1" applyFill="1" applyBorder="1" applyAlignment="1">
      <alignment horizontal="center" vertical="center" wrapText="1"/>
    </xf>
    <xf numFmtId="0" fontId="17" fillId="5" borderId="21" xfId="0" applyFont="1" applyFill="1" applyBorder="1" applyAlignment="1">
      <alignment horizontal="center" vertical="center" wrapText="1"/>
    </xf>
    <xf numFmtId="165" fontId="25" fillId="0" borderId="27" xfId="0" applyNumberFormat="1" applyFont="1" applyBorder="1" applyAlignment="1">
      <alignment horizontal="center"/>
    </xf>
    <xf numFmtId="165" fontId="25" fillId="0" borderId="28" xfId="0" applyNumberFormat="1" applyFont="1" applyBorder="1" applyAlignment="1">
      <alignment horizontal="center"/>
    </xf>
    <xf numFmtId="0" fontId="16" fillId="5" borderId="22" xfId="0" applyFont="1" applyFill="1" applyBorder="1" applyAlignment="1">
      <alignment horizontal="center" vertical="center" wrapText="1"/>
    </xf>
    <xf numFmtId="0" fontId="16" fillId="5" borderId="24" xfId="0" applyFont="1" applyFill="1" applyBorder="1" applyAlignment="1">
      <alignment horizontal="center" vertical="center" wrapText="1"/>
    </xf>
    <xf numFmtId="0" fontId="16" fillId="5" borderId="23" xfId="0" applyFont="1" applyFill="1" applyBorder="1" applyAlignment="1">
      <alignment horizontal="center" vertical="center" wrapText="1"/>
    </xf>
    <xf numFmtId="0" fontId="18" fillId="5" borderId="20" xfId="0" applyFont="1" applyFill="1" applyBorder="1" applyAlignment="1">
      <alignment horizontal="center" vertical="center" wrapText="1"/>
    </xf>
    <xf numFmtId="0" fontId="18" fillId="5" borderId="21" xfId="0" applyFont="1" applyFill="1" applyBorder="1" applyAlignment="1">
      <alignment horizontal="center" vertical="center" wrapText="1"/>
    </xf>
    <xf numFmtId="166" fontId="8" fillId="8" borderId="39" xfId="0" applyNumberFormat="1" applyFont="1" applyFill="1" applyBorder="1" applyAlignment="1">
      <alignment horizontal="center" vertical="center"/>
    </xf>
    <xf numFmtId="166" fontId="8" fillId="8" borderId="40" xfId="0" applyNumberFormat="1" applyFont="1" applyFill="1" applyBorder="1" applyAlignment="1">
      <alignment horizontal="center" vertical="center"/>
    </xf>
    <xf numFmtId="166" fontId="8" fillId="8" borderId="41" xfId="0" applyNumberFormat="1" applyFont="1" applyFill="1" applyBorder="1" applyAlignment="1">
      <alignment horizontal="center" vertical="center"/>
    </xf>
    <xf numFmtId="0" fontId="15" fillId="5" borderId="20" xfId="0" applyFont="1" applyFill="1" applyBorder="1" applyAlignment="1">
      <alignment horizontal="center" vertical="center"/>
    </xf>
    <xf numFmtId="0" fontId="15" fillId="5" borderId="24" xfId="0" applyFont="1" applyFill="1" applyBorder="1" applyAlignment="1">
      <alignment horizontal="center" vertical="center"/>
    </xf>
    <xf numFmtId="0" fontId="15" fillId="5" borderId="21" xfId="0" applyFont="1" applyFill="1" applyBorder="1" applyAlignment="1">
      <alignment horizontal="center" vertical="center"/>
    </xf>
    <xf numFmtId="0" fontId="9" fillId="0" borderId="0" xfId="0" applyFont="1" applyAlignment="1">
      <alignment horizontal="center" vertical="center"/>
    </xf>
    <xf numFmtId="0" fontId="14" fillId="5" borderId="20" xfId="0" applyFont="1" applyFill="1" applyBorder="1" applyAlignment="1">
      <alignment horizontal="center" vertical="center"/>
    </xf>
    <xf numFmtId="0" fontId="14" fillId="5" borderId="24" xfId="0" applyFont="1" applyFill="1" applyBorder="1" applyAlignment="1">
      <alignment horizontal="center" vertical="center"/>
    </xf>
    <xf numFmtId="0" fontId="14" fillId="5" borderId="21" xfId="0" applyFont="1" applyFill="1" applyBorder="1" applyAlignment="1">
      <alignment horizontal="center" vertical="center"/>
    </xf>
    <xf numFmtId="0" fontId="8" fillId="8" borderId="40" xfId="0" applyFont="1" applyFill="1" applyBorder="1" applyAlignment="1">
      <alignment horizontal="center" vertical="center"/>
    </xf>
    <xf numFmtId="0" fontId="8" fillId="8" borderId="41" xfId="0" applyFont="1" applyFill="1" applyBorder="1" applyAlignment="1">
      <alignment horizontal="center" vertical="center"/>
    </xf>
    <xf numFmtId="166" fontId="21" fillId="5" borderId="42" xfId="0" applyNumberFormat="1" applyFont="1" applyFill="1" applyBorder="1" applyAlignment="1">
      <alignment horizontal="center" vertical="center"/>
    </xf>
    <xf numFmtId="0" fontId="21" fillId="5" borderId="31" xfId="0" applyFont="1" applyFill="1" applyBorder="1" applyAlignment="1">
      <alignment horizontal="center" vertical="center"/>
    </xf>
    <xf numFmtId="0" fontId="21" fillId="5" borderId="32" xfId="0" applyFont="1" applyFill="1" applyBorder="1" applyAlignment="1">
      <alignment horizontal="center" vertical="center"/>
    </xf>
    <xf numFmtId="0" fontId="22" fillId="5" borderId="20" xfId="0" applyFont="1" applyFill="1" applyBorder="1" applyAlignment="1" applyProtection="1">
      <alignment horizontal="center" vertical="center"/>
      <protection locked="0"/>
    </xf>
    <xf numFmtId="0" fontId="22" fillId="5" borderId="24" xfId="0" applyFont="1" applyFill="1" applyBorder="1" applyAlignment="1" applyProtection="1">
      <alignment horizontal="center" vertical="center"/>
      <protection locked="0"/>
    </xf>
    <xf numFmtId="0" fontId="22" fillId="5" borderId="21" xfId="0" applyFont="1" applyFill="1" applyBorder="1" applyAlignment="1" applyProtection="1">
      <alignment horizontal="center" vertical="center"/>
      <protection locked="0"/>
    </xf>
  </cellXfs>
  <cellStyles count="1">
    <cellStyle name="Normal" xfId="0" builtinId="0"/>
  </cellStyles>
  <dxfs count="142">
    <dxf>
      <font>
        <strike val="0"/>
        <u val="none"/>
        <color auto="1"/>
      </font>
      <fill>
        <patternFill patternType="none">
          <bgColor auto="1"/>
        </patternFill>
      </fill>
      <border>
        <left style="dashed">
          <color auto="1"/>
        </left>
        <right style="dashed">
          <color auto="1"/>
        </right>
        <top style="dashed">
          <color auto="1"/>
        </top>
        <bottom style="dashed">
          <color auto="1"/>
        </bottom>
      </border>
    </dxf>
    <dxf>
      <fill>
        <patternFill patternType="none">
          <bgColor auto="1"/>
        </patternFill>
      </fill>
      <border>
        <left style="dashed">
          <color theme="1"/>
        </left>
        <right style="dashed">
          <color theme="1"/>
        </right>
        <top style="dashed">
          <color theme="1"/>
        </top>
        <bottom style="dashed">
          <color theme="1"/>
        </bottom>
      </border>
    </dxf>
    <dxf>
      <fill>
        <patternFill>
          <bgColor theme="0"/>
        </patternFill>
      </fill>
      <border>
        <left style="dashed">
          <color auto="1"/>
        </left>
        <right style="dashed">
          <color auto="1"/>
        </right>
        <top style="dashed">
          <color auto="1"/>
        </top>
        <bottom style="dashed">
          <color auto="1"/>
        </bottom>
      </border>
    </dxf>
    <dxf>
      <font>
        <b val="0"/>
        <i val="0"/>
        <color theme="0"/>
      </font>
      <fill>
        <patternFill>
          <bgColor theme="1"/>
        </patternFill>
      </fill>
      <border>
        <left/>
        <right style="thin">
          <color auto="1"/>
        </right>
        <top/>
        <bottom style="thin">
          <color auto="1"/>
        </bottom>
      </border>
    </dxf>
    <dxf>
      <font>
        <strike val="0"/>
        <u val="none"/>
        <color auto="1"/>
      </font>
      <fill>
        <patternFill patternType="none">
          <bgColor auto="1"/>
        </patternFill>
      </fill>
      <border>
        <left style="dashed">
          <color auto="1"/>
        </left>
        <right style="dashed">
          <color auto="1"/>
        </right>
        <top style="dashed">
          <color auto="1"/>
        </top>
        <bottom style="dashed">
          <color auto="1"/>
        </bottom>
      </border>
    </dxf>
    <dxf>
      <fill>
        <patternFill patternType="none">
          <bgColor auto="1"/>
        </patternFill>
      </fill>
      <border>
        <left style="dashed">
          <color theme="1"/>
        </left>
        <right style="dashed">
          <color theme="1"/>
        </right>
        <top style="dashed">
          <color theme="1"/>
        </top>
        <bottom style="dashed">
          <color theme="1"/>
        </bottom>
      </border>
    </dxf>
    <dxf>
      <fill>
        <patternFill>
          <bgColor theme="0"/>
        </patternFill>
      </fill>
      <border>
        <left style="dashed">
          <color auto="1"/>
        </left>
        <right style="dashed">
          <color auto="1"/>
        </right>
        <top style="dashed">
          <color auto="1"/>
        </top>
        <bottom style="dashed">
          <color auto="1"/>
        </bottom>
      </border>
    </dxf>
    <dxf>
      <font>
        <b val="0"/>
        <i val="0"/>
        <color theme="0"/>
      </font>
      <fill>
        <patternFill>
          <bgColor theme="1"/>
        </patternFill>
      </fill>
      <border>
        <left/>
        <right style="thin">
          <color auto="1"/>
        </right>
        <top/>
        <bottom style="thin">
          <color auto="1"/>
        </bottom>
      </border>
    </dxf>
    <dxf>
      <font>
        <strike val="0"/>
        <u val="none"/>
        <color auto="1"/>
      </font>
      <fill>
        <patternFill patternType="none">
          <bgColor auto="1"/>
        </patternFill>
      </fill>
      <border>
        <left style="dashed">
          <color auto="1"/>
        </left>
        <right style="dashed">
          <color auto="1"/>
        </right>
        <top style="dashed">
          <color auto="1"/>
        </top>
        <bottom style="dashed">
          <color auto="1"/>
        </bottom>
      </border>
    </dxf>
    <dxf>
      <fill>
        <patternFill patternType="none">
          <bgColor auto="1"/>
        </patternFill>
      </fill>
      <border>
        <left style="dashed">
          <color theme="1"/>
        </left>
        <right style="dashed">
          <color theme="1"/>
        </right>
        <top style="dashed">
          <color theme="1"/>
        </top>
        <bottom style="dashed">
          <color theme="1"/>
        </bottom>
      </border>
    </dxf>
    <dxf>
      <fill>
        <patternFill>
          <bgColor theme="0"/>
        </patternFill>
      </fill>
      <border>
        <left style="dashed">
          <color auto="1"/>
        </left>
        <right style="dashed">
          <color auto="1"/>
        </right>
        <top style="dashed">
          <color auto="1"/>
        </top>
        <bottom style="dashed">
          <color auto="1"/>
        </bottom>
      </border>
    </dxf>
    <dxf>
      <font>
        <b val="0"/>
        <i val="0"/>
        <color theme="0"/>
      </font>
      <fill>
        <patternFill>
          <bgColor theme="1"/>
        </patternFill>
      </fill>
      <border>
        <left/>
        <right style="thin">
          <color auto="1"/>
        </right>
        <top/>
        <bottom style="thin">
          <color auto="1"/>
        </bottom>
      </border>
    </dxf>
    <dxf>
      <font>
        <strike val="0"/>
        <u val="none"/>
        <color auto="1"/>
      </font>
      <fill>
        <patternFill patternType="none">
          <bgColor auto="1"/>
        </patternFill>
      </fill>
      <border>
        <left style="dashed">
          <color auto="1"/>
        </left>
        <right style="dashed">
          <color auto="1"/>
        </right>
        <top style="dashed">
          <color auto="1"/>
        </top>
        <bottom style="dashed">
          <color auto="1"/>
        </bottom>
      </border>
    </dxf>
    <dxf>
      <fill>
        <patternFill patternType="none">
          <bgColor auto="1"/>
        </patternFill>
      </fill>
      <border>
        <left style="dashed">
          <color theme="1"/>
        </left>
        <right style="dashed">
          <color theme="1"/>
        </right>
        <top style="dashed">
          <color theme="1"/>
        </top>
        <bottom style="dashed">
          <color theme="1"/>
        </bottom>
      </border>
    </dxf>
    <dxf>
      <fill>
        <patternFill>
          <bgColor theme="0"/>
        </patternFill>
      </fill>
      <border>
        <left style="dashed">
          <color auto="1"/>
        </left>
        <right style="dashed">
          <color auto="1"/>
        </right>
        <top style="dashed">
          <color auto="1"/>
        </top>
        <bottom style="dashed">
          <color auto="1"/>
        </bottom>
      </border>
    </dxf>
    <dxf>
      <font>
        <b val="0"/>
        <i val="0"/>
        <color theme="0"/>
      </font>
      <fill>
        <patternFill>
          <bgColor theme="1"/>
        </patternFill>
      </fill>
      <border>
        <left/>
        <right style="thin">
          <color auto="1"/>
        </right>
        <top/>
        <bottom style="thin">
          <color auto="1"/>
        </bottom>
      </border>
    </dxf>
    <dxf>
      <font>
        <strike val="0"/>
        <u val="none"/>
        <color auto="1"/>
      </font>
      <fill>
        <patternFill patternType="none">
          <bgColor auto="1"/>
        </patternFill>
      </fill>
      <border>
        <left style="dashed">
          <color auto="1"/>
        </left>
        <right style="dashed">
          <color auto="1"/>
        </right>
        <top style="dashed">
          <color auto="1"/>
        </top>
        <bottom style="dashed">
          <color auto="1"/>
        </bottom>
      </border>
    </dxf>
    <dxf>
      <fill>
        <patternFill patternType="none">
          <bgColor auto="1"/>
        </patternFill>
      </fill>
      <border>
        <left style="dashed">
          <color theme="1"/>
        </left>
        <right style="dashed">
          <color theme="1"/>
        </right>
        <top style="dashed">
          <color theme="1"/>
        </top>
        <bottom style="dashed">
          <color theme="1"/>
        </bottom>
      </border>
    </dxf>
    <dxf>
      <fill>
        <patternFill>
          <bgColor theme="0"/>
        </patternFill>
      </fill>
      <border>
        <left style="dashed">
          <color auto="1"/>
        </left>
        <right style="dashed">
          <color auto="1"/>
        </right>
        <top style="dashed">
          <color auto="1"/>
        </top>
        <bottom style="dashed">
          <color auto="1"/>
        </bottom>
      </border>
    </dxf>
    <dxf>
      <font>
        <b val="0"/>
        <i val="0"/>
        <color theme="0"/>
      </font>
      <fill>
        <patternFill>
          <bgColor theme="1"/>
        </patternFill>
      </fill>
      <border>
        <left/>
        <right style="thin">
          <color auto="1"/>
        </right>
        <top/>
        <bottom style="thin">
          <color auto="1"/>
        </bottom>
      </border>
    </dxf>
    <dxf>
      <font>
        <strike val="0"/>
        <u val="none"/>
        <color auto="1"/>
      </font>
      <fill>
        <patternFill patternType="none">
          <bgColor auto="1"/>
        </patternFill>
      </fill>
      <border>
        <left style="dashed">
          <color auto="1"/>
        </left>
        <right style="dashed">
          <color auto="1"/>
        </right>
        <top style="dashed">
          <color auto="1"/>
        </top>
        <bottom style="dashed">
          <color auto="1"/>
        </bottom>
      </border>
    </dxf>
    <dxf>
      <fill>
        <patternFill patternType="none">
          <bgColor auto="1"/>
        </patternFill>
      </fill>
      <border>
        <left style="dashed">
          <color theme="1"/>
        </left>
        <right style="dashed">
          <color theme="1"/>
        </right>
        <top style="dashed">
          <color theme="1"/>
        </top>
        <bottom style="dashed">
          <color theme="1"/>
        </bottom>
      </border>
    </dxf>
    <dxf>
      <fill>
        <patternFill>
          <bgColor theme="0"/>
        </patternFill>
      </fill>
      <border>
        <left style="dashed">
          <color auto="1"/>
        </left>
        <right style="dashed">
          <color auto="1"/>
        </right>
        <top style="dashed">
          <color auto="1"/>
        </top>
        <bottom style="dashed">
          <color auto="1"/>
        </bottom>
      </border>
    </dxf>
    <dxf>
      <font>
        <b val="0"/>
        <i val="0"/>
        <color theme="0"/>
      </font>
      <fill>
        <patternFill>
          <bgColor theme="1"/>
        </patternFill>
      </fill>
      <border>
        <left/>
        <right style="thin">
          <color auto="1"/>
        </right>
        <top/>
        <bottom style="thin">
          <color auto="1"/>
        </bottom>
      </border>
    </dxf>
    <dxf>
      <font>
        <strike val="0"/>
        <u val="none"/>
        <color auto="1"/>
      </font>
      <fill>
        <patternFill patternType="none">
          <bgColor auto="1"/>
        </patternFill>
      </fill>
      <border>
        <left style="dashed">
          <color auto="1"/>
        </left>
        <right style="dashed">
          <color auto="1"/>
        </right>
        <top style="dashed">
          <color auto="1"/>
        </top>
        <bottom style="dashed">
          <color auto="1"/>
        </bottom>
      </border>
    </dxf>
    <dxf>
      <fill>
        <patternFill patternType="none">
          <bgColor auto="1"/>
        </patternFill>
      </fill>
      <border>
        <left style="dashed">
          <color theme="1"/>
        </left>
        <right style="dashed">
          <color theme="1"/>
        </right>
        <top style="dashed">
          <color theme="1"/>
        </top>
        <bottom style="dashed">
          <color theme="1"/>
        </bottom>
      </border>
    </dxf>
    <dxf>
      <fill>
        <patternFill>
          <bgColor theme="0"/>
        </patternFill>
      </fill>
      <border>
        <left style="dashed">
          <color auto="1"/>
        </left>
        <right style="dashed">
          <color auto="1"/>
        </right>
        <top style="dashed">
          <color auto="1"/>
        </top>
        <bottom style="dashed">
          <color auto="1"/>
        </bottom>
      </border>
    </dxf>
    <dxf>
      <font>
        <b val="0"/>
        <i val="0"/>
        <color theme="0"/>
      </font>
      <fill>
        <patternFill>
          <bgColor theme="1"/>
        </patternFill>
      </fill>
      <border>
        <left/>
        <right style="thin">
          <color auto="1"/>
        </right>
        <top/>
        <bottom style="thin">
          <color auto="1"/>
        </bottom>
      </border>
    </dxf>
    <dxf>
      <font>
        <strike val="0"/>
        <u val="none"/>
        <color auto="1"/>
      </font>
      <fill>
        <patternFill patternType="none">
          <bgColor auto="1"/>
        </patternFill>
      </fill>
      <border>
        <left style="dashed">
          <color auto="1"/>
        </left>
        <right style="dashed">
          <color auto="1"/>
        </right>
        <top style="dashed">
          <color auto="1"/>
        </top>
        <bottom style="dashed">
          <color auto="1"/>
        </bottom>
      </border>
    </dxf>
    <dxf>
      <fill>
        <patternFill patternType="none">
          <bgColor auto="1"/>
        </patternFill>
      </fill>
      <border>
        <left style="dashed">
          <color theme="1"/>
        </left>
        <right style="dashed">
          <color theme="1"/>
        </right>
        <top style="dashed">
          <color theme="1"/>
        </top>
        <bottom style="dashed">
          <color theme="1"/>
        </bottom>
      </border>
    </dxf>
    <dxf>
      <fill>
        <patternFill>
          <bgColor theme="0"/>
        </patternFill>
      </fill>
      <border>
        <left style="dashed">
          <color auto="1"/>
        </left>
        <right style="dashed">
          <color auto="1"/>
        </right>
        <top style="dashed">
          <color auto="1"/>
        </top>
        <bottom style="dashed">
          <color auto="1"/>
        </bottom>
      </border>
    </dxf>
    <dxf>
      <font>
        <b val="0"/>
        <i val="0"/>
        <color theme="0"/>
      </font>
      <fill>
        <patternFill>
          <bgColor theme="1"/>
        </patternFill>
      </fill>
      <border>
        <left/>
        <right style="thin">
          <color auto="1"/>
        </right>
        <top/>
        <bottom style="thin">
          <color auto="1"/>
        </bottom>
      </border>
    </dxf>
    <dxf>
      <font>
        <strike val="0"/>
        <u val="none"/>
        <color auto="1"/>
      </font>
      <fill>
        <patternFill patternType="none">
          <bgColor auto="1"/>
        </patternFill>
      </fill>
      <border>
        <left style="dashed">
          <color auto="1"/>
        </left>
        <right style="dashed">
          <color auto="1"/>
        </right>
        <top style="dashed">
          <color auto="1"/>
        </top>
        <bottom style="dashed">
          <color auto="1"/>
        </bottom>
      </border>
    </dxf>
    <dxf>
      <fill>
        <patternFill patternType="none">
          <bgColor auto="1"/>
        </patternFill>
      </fill>
      <border>
        <left style="dashed">
          <color theme="1"/>
        </left>
        <right style="dashed">
          <color theme="1"/>
        </right>
        <top style="dashed">
          <color theme="1"/>
        </top>
        <bottom style="dashed">
          <color theme="1"/>
        </bottom>
      </border>
    </dxf>
    <dxf>
      <fill>
        <patternFill>
          <bgColor theme="0"/>
        </patternFill>
      </fill>
      <border>
        <left style="dashed">
          <color auto="1"/>
        </left>
        <right style="dashed">
          <color auto="1"/>
        </right>
        <top style="dashed">
          <color auto="1"/>
        </top>
        <bottom style="dashed">
          <color auto="1"/>
        </bottom>
      </border>
    </dxf>
    <dxf>
      <font>
        <b val="0"/>
        <i val="0"/>
        <color theme="0"/>
      </font>
      <fill>
        <patternFill>
          <bgColor theme="1"/>
        </patternFill>
      </fill>
      <border>
        <left/>
        <right style="thin">
          <color auto="1"/>
        </right>
        <top/>
        <bottom style="thin">
          <color auto="1"/>
        </bottom>
      </border>
    </dxf>
    <dxf>
      <font>
        <strike val="0"/>
        <u val="none"/>
        <color auto="1"/>
      </font>
      <fill>
        <patternFill patternType="none">
          <bgColor auto="1"/>
        </patternFill>
      </fill>
      <border>
        <left style="dashed">
          <color auto="1"/>
        </left>
        <right style="dashed">
          <color auto="1"/>
        </right>
        <top style="dashed">
          <color auto="1"/>
        </top>
        <bottom style="dashed">
          <color auto="1"/>
        </bottom>
      </border>
    </dxf>
    <dxf>
      <fill>
        <patternFill patternType="none">
          <bgColor auto="1"/>
        </patternFill>
      </fill>
      <border>
        <left style="dashed">
          <color theme="1"/>
        </left>
        <right style="dashed">
          <color theme="1"/>
        </right>
        <top style="dashed">
          <color theme="1"/>
        </top>
        <bottom style="dashed">
          <color theme="1"/>
        </bottom>
      </border>
    </dxf>
    <dxf>
      <fill>
        <patternFill>
          <bgColor theme="0"/>
        </patternFill>
      </fill>
      <border>
        <left style="dashed">
          <color auto="1"/>
        </left>
        <right style="dashed">
          <color auto="1"/>
        </right>
        <top style="dashed">
          <color auto="1"/>
        </top>
        <bottom style="dashed">
          <color auto="1"/>
        </bottom>
      </border>
    </dxf>
    <dxf>
      <font>
        <b val="0"/>
        <i val="0"/>
        <color theme="0"/>
      </font>
      <fill>
        <patternFill>
          <bgColor theme="1"/>
        </patternFill>
      </fill>
      <border>
        <left/>
        <right style="thin">
          <color auto="1"/>
        </right>
        <top/>
        <bottom style="thin">
          <color auto="1"/>
        </bottom>
      </border>
    </dxf>
    <dxf>
      <font>
        <strike val="0"/>
        <u val="none"/>
        <color auto="1"/>
      </font>
      <fill>
        <patternFill patternType="none">
          <bgColor auto="1"/>
        </patternFill>
      </fill>
      <border>
        <left style="dashed">
          <color auto="1"/>
        </left>
        <right style="dashed">
          <color auto="1"/>
        </right>
        <top style="dashed">
          <color auto="1"/>
        </top>
        <bottom style="dashed">
          <color auto="1"/>
        </bottom>
      </border>
    </dxf>
    <dxf>
      <fill>
        <patternFill patternType="none">
          <bgColor auto="1"/>
        </patternFill>
      </fill>
      <border>
        <left style="dashed">
          <color theme="1"/>
        </left>
        <right style="dashed">
          <color theme="1"/>
        </right>
        <top style="dashed">
          <color theme="1"/>
        </top>
        <bottom style="dashed">
          <color theme="1"/>
        </bottom>
      </border>
    </dxf>
    <dxf>
      <fill>
        <patternFill>
          <bgColor theme="0"/>
        </patternFill>
      </fill>
      <border>
        <left style="dashed">
          <color auto="1"/>
        </left>
        <right style="dashed">
          <color auto="1"/>
        </right>
        <top style="dashed">
          <color auto="1"/>
        </top>
        <bottom style="dashed">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b val="0"/>
        <i val="0"/>
        <color theme="0"/>
      </font>
      <fill>
        <patternFill>
          <bgColor theme="1"/>
        </patternFill>
      </fill>
      <border>
        <left/>
        <right style="thin">
          <color auto="1"/>
        </right>
        <top/>
        <bottom style="thin">
          <color auto="1"/>
        </bottom>
      </border>
    </dxf>
    <dxf>
      <font>
        <strike val="0"/>
        <u val="none"/>
        <color auto="1"/>
      </font>
      <fill>
        <patternFill patternType="none">
          <bgColor auto="1"/>
        </patternFill>
      </fill>
      <border>
        <left style="dashed">
          <color auto="1"/>
        </left>
        <right style="dashed">
          <color auto="1"/>
        </right>
        <top style="dashed">
          <color auto="1"/>
        </top>
        <bottom style="dashed">
          <color auto="1"/>
        </bottom>
      </border>
    </dxf>
    <dxf>
      <fill>
        <patternFill patternType="none">
          <bgColor auto="1"/>
        </patternFill>
      </fill>
      <border>
        <left style="dashed">
          <color theme="1"/>
        </left>
        <right style="dashed">
          <color theme="1"/>
        </right>
        <top style="dashed">
          <color theme="1"/>
        </top>
        <bottom style="dashed">
          <color theme="1"/>
        </bottom>
      </border>
    </dxf>
    <dxf>
      <fill>
        <patternFill>
          <bgColor theme="0"/>
        </patternFill>
      </fill>
      <border>
        <left style="dashed">
          <color auto="1"/>
        </left>
        <right style="dashed">
          <color auto="1"/>
        </right>
        <top style="dashed">
          <color auto="1"/>
        </top>
        <bottom style="dashed">
          <color auto="1"/>
        </bottom>
      </border>
    </dxf>
    <dxf>
      <font>
        <b val="0"/>
        <i val="0"/>
        <color theme="0"/>
      </font>
      <fill>
        <patternFill>
          <bgColor theme="1"/>
        </patternFill>
      </fill>
      <border>
        <left/>
        <right style="thin">
          <color auto="1"/>
        </right>
        <top/>
        <bottom style="thin">
          <color auto="1"/>
        </bottom>
      </border>
    </dxf>
    <dxf>
      <font>
        <strike val="0"/>
        <color theme="0"/>
      </font>
      <fill>
        <patternFill>
          <bgColor theme="0"/>
        </patternFill>
      </fill>
      <border>
        <left/>
        <right style="thin">
          <color theme="1"/>
        </right>
        <top/>
        <bottom style="thin">
          <color theme="1"/>
        </bottom>
        <vertical/>
        <horizontal/>
      </border>
    </dxf>
    <dxf>
      <font>
        <strike val="0"/>
        <color theme="0"/>
      </font>
      <fill>
        <patternFill patternType="solid">
          <bgColor theme="0"/>
        </patternFill>
      </fill>
      <border>
        <left/>
        <right style="thin">
          <color theme="1"/>
        </right>
        <top/>
        <bottom style="thin">
          <color theme="1"/>
        </bottom>
      </border>
    </dxf>
    <dxf>
      <font>
        <strike val="0"/>
        <color theme="0"/>
      </font>
      <fill>
        <patternFill>
          <bgColor theme="0"/>
        </patternFill>
      </fill>
      <border>
        <left/>
        <right style="thin">
          <color auto="1"/>
        </right>
        <top/>
        <bottom style="thin">
          <color auto="1"/>
        </bottom>
      </border>
    </dxf>
  </dxfs>
  <tableStyles count="0" defaultTableStyle="TableStyleMedium9" defaultPivotStyle="PivotStyleLight16"/>
  <colors>
    <mruColors>
      <color rgb="FFE6E6E6"/>
      <color rgb="FFEAEAEA"/>
      <color rgb="FFB4B4B4"/>
      <color rgb="FFDCDCDC"/>
      <color rgb="FFE7EDF5"/>
      <color rgb="FFE9EFF7"/>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BA138"/>
  <sheetViews>
    <sheetView showGridLines="0" tabSelected="1" zoomScale="115" zoomScaleNormal="115" workbookViewId="0">
      <selection activeCell="B79" sqref="B79:P79"/>
    </sheetView>
  </sheetViews>
  <sheetFormatPr defaultColWidth="1.7109375" defaultRowHeight="14.1" customHeight="1" x14ac:dyDescent="0.25"/>
  <cols>
    <col min="1" max="1" width="0.42578125" style="8" customWidth="1"/>
    <col min="2" max="2" width="3.7109375" style="4" bestFit="1" customWidth="1"/>
    <col min="3" max="3" width="0.42578125" style="4" customWidth="1"/>
    <col min="4" max="4" width="12.7109375" style="4" bestFit="1" customWidth="1"/>
    <col min="5" max="5" width="0.42578125" style="4" customWidth="1"/>
    <col min="6" max="6" width="3.28515625" style="4" bestFit="1" customWidth="1"/>
    <col min="7" max="7" width="2.5703125" style="4" customWidth="1"/>
    <col min="8" max="8" width="0.42578125" style="4" customWidth="1"/>
    <col min="9" max="10" width="2.5703125" style="4" customWidth="1"/>
    <col min="11" max="11" width="0.42578125" style="4" customWidth="1"/>
    <col min="12" max="13" width="2.5703125" style="4" customWidth="1"/>
    <col min="14" max="14" width="0.42578125" style="4" customWidth="1"/>
    <col min="15" max="16" width="2.5703125" style="4" customWidth="1"/>
    <col min="17" max="17" width="0.42578125" style="4" customWidth="1"/>
    <col min="18" max="18" width="4.28515625" style="4" customWidth="1"/>
    <col min="19" max="19" width="4.7109375" style="4" customWidth="1"/>
    <col min="20" max="20" width="0.42578125" style="4" customWidth="1"/>
    <col min="21" max="22" width="3.140625" style="4" customWidth="1"/>
    <col min="23" max="23" width="0.42578125" style="4" customWidth="1"/>
    <col min="24" max="25" width="3.140625" style="4" customWidth="1"/>
    <col min="26" max="26" width="0.42578125" style="4" customWidth="1"/>
    <col min="27" max="27" width="0.42578125" style="4" hidden="1" customWidth="1"/>
    <col min="28" max="29" width="4.140625" style="4" customWidth="1"/>
    <col min="30" max="30" width="0.42578125" style="4" customWidth="1"/>
    <col min="31" max="31" width="3.42578125" style="4" customWidth="1"/>
    <col min="32" max="32" width="3.140625" style="4" customWidth="1"/>
    <col min="33" max="33" width="0.42578125" style="4" customWidth="1"/>
    <col min="34" max="34" width="5.42578125" style="4" hidden="1" customWidth="1"/>
    <col min="35" max="36" width="4.140625" style="4" customWidth="1"/>
    <col min="37" max="37" width="0.42578125" style="4" customWidth="1"/>
    <col min="38" max="42" width="1.7109375" style="4"/>
    <col min="43" max="43" width="2.140625" style="51" customWidth="1"/>
    <col min="44" max="16384" width="1.7109375" style="4"/>
  </cols>
  <sheetData>
    <row r="1" spans="1:43" s="5" customFormat="1" ht="5.25" customHeight="1" thickBot="1" x14ac:dyDescent="0.25">
      <c r="A1" s="23"/>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Q1" s="46"/>
    </row>
    <row r="2" spans="1:43" s="1" customFormat="1" ht="15" customHeight="1" thickBot="1" x14ac:dyDescent="0.3">
      <c r="A2" s="26"/>
      <c r="B2" s="109" t="s">
        <v>9</v>
      </c>
      <c r="C2" s="110"/>
      <c r="D2" s="110"/>
      <c r="E2" s="110"/>
      <c r="F2" s="110"/>
      <c r="G2" s="110"/>
      <c r="H2" s="110"/>
      <c r="I2" s="110"/>
      <c r="J2" s="110"/>
      <c r="K2" s="110"/>
      <c r="L2" s="110"/>
      <c r="M2" s="110"/>
      <c r="N2" s="110"/>
      <c r="O2" s="110"/>
      <c r="P2" s="110"/>
      <c r="Q2" s="110"/>
      <c r="R2" s="110"/>
      <c r="S2" s="110"/>
      <c r="T2" s="110"/>
      <c r="U2" s="110"/>
      <c r="V2" s="110"/>
      <c r="W2" s="110"/>
      <c r="X2" s="110"/>
      <c r="Y2" s="110"/>
      <c r="Z2" s="110"/>
      <c r="AA2" s="110"/>
      <c r="AB2" s="110"/>
      <c r="AC2" s="110"/>
      <c r="AD2" s="110"/>
      <c r="AE2" s="110"/>
      <c r="AF2" s="110"/>
      <c r="AG2" s="110"/>
      <c r="AH2" s="110"/>
      <c r="AI2" s="110"/>
      <c r="AJ2" s="111"/>
      <c r="AK2" s="27"/>
      <c r="AQ2" s="47"/>
    </row>
    <row r="3" spans="1:43" s="5" customFormat="1" ht="6.75" customHeight="1" thickBot="1" x14ac:dyDescent="0.25">
      <c r="A3" s="28"/>
      <c r="AK3" s="29"/>
      <c r="AQ3" s="46"/>
    </row>
    <row r="4" spans="1:43" s="6" customFormat="1" ht="21" thickTop="1" thickBot="1" x14ac:dyDescent="0.3">
      <c r="A4" s="30"/>
      <c r="B4" s="52">
        <v>10</v>
      </c>
      <c r="C4"/>
      <c r="D4" s="45">
        <v>2022</v>
      </c>
      <c r="E4" s="3"/>
      <c r="F4" s="121" t="s">
        <v>17</v>
      </c>
      <c r="G4" s="122"/>
      <c r="H4" s="122"/>
      <c r="I4" s="122"/>
      <c r="J4" s="122"/>
      <c r="K4" s="122"/>
      <c r="L4" s="122"/>
      <c r="M4" s="122"/>
      <c r="N4" s="122"/>
      <c r="O4" s="122"/>
      <c r="P4" s="122"/>
      <c r="Q4" s="122"/>
      <c r="R4" s="122"/>
      <c r="S4" s="122"/>
      <c r="T4" s="122"/>
      <c r="U4" s="122"/>
      <c r="V4" s="122"/>
      <c r="W4" s="122"/>
      <c r="X4" s="122"/>
      <c r="Y4" s="122"/>
      <c r="Z4" s="122"/>
      <c r="AA4" s="122"/>
      <c r="AB4" s="122"/>
      <c r="AC4" s="122"/>
      <c r="AD4" s="122"/>
      <c r="AE4" s="122"/>
      <c r="AF4" s="122"/>
      <c r="AG4" s="122"/>
      <c r="AH4" s="122"/>
      <c r="AI4" s="122"/>
      <c r="AJ4" s="123"/>
      <c r="AK4" s="31"/>
      <c r="AQ4" s="48"/>
    </row>
    <row r="5" spans="1:43" s="3" customFormat="1" ht="9" customHeight="1" x14ac:dyDescent="0.25">
      <c r="A5" s="33"/>
      <c r="AK5" s="34"/>
      <c r="AQ5" s="47"/>
    </row>
    <row r="6" spans="1:43" s="7" customFormat="1" ht="5.0999999999999996" customHeight="1" x14ac:dyDescent="0.2">
      <c r="A6" s="43"/>
      <c r="B6" s="43"/>
      <c r="C6" s="43"/>
      <c r="D6" s="43"/>
      <c r="E6" s="43"/>
      <c r="F6" s="43"/>
      <c r="G6" s="43"/>
      <c r="H6" s="43"/>
      <c r="I6" s="43"/>
      <c r="J6" s="43"/>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Q6" s="46"/>
    </row>
    <row r="7" spans="1:43" s="3" customFormat="1" ht="3.75" customHeight="1" thickBot="1" x14ac:dyDescent="0.3">
      <c r="A7" s="33"/>
      <c r="B7" s="112"/>
      <c r="C7" s="112"/>
      <c r="D7" s="112"/>
      <c r="E7" s="112"/>
      <c r="F7" s="112"/>
      <c r="G7" s="112"/>
      <c r="H7" s="112"/>
      <c r="I7" s="112"/>
      <c r="J7" s="112"/>
      <c r="K7" s="112"/>
      <c r="L7" s="112"/>
      <c r="M7" s="112"/>
      <c r="N7" s="112"/>
      <c r="O7" s="112"/>
      <c r="P7" s="112"/>
      <c r="Q7" s="112"/>
      <c r="R7" s="112"/>
      <c r="S7" s="112"/>
      <c r="T7" s="112"/>
      <c r="U7" s="112"/>
      <c r="V7" s="112"/>
      <c r="W7" s="112"/>
      <c r="X7" s="112"/>
      <c r="Y7" s="112"/>
      <c r="Z7" s="112"/>
      <c r="AA7" s="112"/>
      <c r="AB7" s="112"/>
      <c r="AC7" s="112"/>
      <c r="AD7" s="112"/>
      <c r="AE7" s="112"/>
      <c r="AF7" s="112"/>
      <c r="AG7" s="112"/>
      <c r="AH7" s="112"/>
      <c r="AI7" s="112"/>
      <c r="AJ7" s="112"/>
      <c r="AK7" s="34"/>
      <c r="AQ7" s="47"/>
    </row>
    <row r="8" spans="1:43" s="3" customFormat="1" ht="15" customHeight="1" thickBot="1" x14ac:dyDescent="0.3">
      <c r="A8" s="33"/>
      <c r="B8" s="113" t="s">
        <v>11</v>
      </c>
      <c r="C8" s="114"/>
      <c r="D8" s="114"/>
      <c r="E8" s="114"/>
      <c r="F8" s="114"/>
      <c r="G8" s="114"/>
      <c r="H8" s="114"/>
      <c r="I8" s="114"/>
      <c r="J8" s="114"/>
      <c r="K8" s="114"/>
      <c r="L8" s="114"/>
      <c r="M8" s="114"/>
      <c r="N8" s="114"/>
      <c r="O8" s="114"/>
      <c r="P8" s="114"/>
      <c r="Q8" s="114"/>
      <c r="R8" s="114"/>
      <c r="S8" s="114"/>
      <c r="T8" s="114"/>
      <c r="U8" s="114"/>
      <c r="V8" s="114"/>
      <c r="W8" s="114"/>
      <c r="X8" s="114"/>
      <c r="Y8" s="114"/>
      <c r="Z8" s="114"/>
      <c r="AA8" s="114"/>
      <c r="AB8" s="114"/>
      <c r="AC8" s="114"/>
      <c r="AD8" s="114"/>
      <c r="AE8" s="114"/>
      <c r="AF8" s="114"/>
      <c r="AG8" s="114"/>
      <c r="AH8" s="114"/>
      <c r="AI8" s="114"/>
      <c r="AJ8" s="115"/>
      <c r="AK8" s="34"/>
      <c r="AQ8" s="47"/>
    </row>
    <row r="9" spans="1:43" s="3" customFormat="1" ht="11.1" customHeight="1" thickBot="1" x14ac:dyDescent="0.3">
      <c r="A9" s="33"/>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34"/>
      <c r="AQ9" s="47"/>
    </row>
    <row r="10" spans="1:43" s="3" customFormat="1" ht="21.95" customHeight="1" thickBot="1" x14ac:dyDescent="0.3">
      <c r="A10" s="33"/>
      <c r="B10" s="67" t="s">
        <v>5</v>
      </c>
      <c r="C10" s="68"/>
      <c r="D10" s="69"/>
      <c r="F10" s="106">
        <f>AB79</f>
        <v>7.0833333333333248E-2</v>
      </c>
      <c r="G10" s="116"/>
      <c r="H10" s="116"/>
      <c r="I10" s="116"/>
      <c r="J10" s="117"/>
      <c r="L10" s="67" t="s">
        <v>0</v>
      </c>
      <c r="M10" s="68"/>
      <c r="N10" s="68"/>
      <c r="O10" s="68"/>
      <c r="P10" s="69"/>
      <c r="R10" s="118">
        <f>AE79</f>
        <v>0</v>
      </c>
      <c r="S10" s="119"/>
      <c r="T10" s="119"/>
      <c r="U10" s="119"/>
      <c r="V10" s="120"/>
      <c r="X10" s="67" t="s">
        <v>19</v>
      </c>
      <c r="Y10" s="68"/>
      <c r="Z10" s="68"/>
      <c r="AA10" s="68"/>
      <c r="AB10" s="68"/>
      <c r="AC10" s="69"/>
      <c r="AD10" s="16"/>
      <c r="AE10" s="106">
        <f>R79-AI79</f>
        <v>1.3138888888888896</v>
      </c>
      <c r="AF10" s="107"/>
      <c r="AG10" s="107"/>
      <c r="AH10" s="107"/>
      <c r="AI10" s="107"/>
      <c r="AJ10" s="108"/>
      <c r="AK10" s="34"/>
      <c r="AQ10" s="47"/>
    </row>
    <row r="11" spans="1:43" s="3" customFormat="1" ht="11.1" customHeight="1" thickBot="1" x14ac:dyDescent="0.3">
      <c r="A11" s="33"/>
      <c r="AK11" s="34"/>
      <c r="AQ11" s="47"/>
    </row>
    <row r="12" spans="1:43" s="3" customFormat="1" ht="21.95" customHeight="1" thickBot="1" x14ac:dyDescent="0.3">
      <c r="A12" s="33"/>
      <c r="B12" s="67" t="s">
        <v>14</v>
      </c>
      <c r="C12" s="68"/>
      <c r="D12" s="69"/>
      <c r="F12" s="106">
        <f>SUM(B125,F125,L125)</f>
        <v>0.31944444444444448</v>
      </c>
      <c r="G12" s="107"/>
      <c r="H12" s="107"/>
      <c r="I12" s="107"/>
      <c r="J12" s="108"/>
      <c r="L12" s="67" t="s">
        <v>16</v>
      </c>
      <c r="M12" s="68"/>
      <c r="N12" s="68"/>
      <c r="O12" s="68"/>
      <c r="P12" s="69"/>
      <c r="R12" s="70">
        <f>IF(OR(B4=1,B4=5),1,IF(B4=4,21,IF(B4=8,6,IF(B4=9,7,IF(B4=10,12,IF(B4=11,2,IF(B4=12,25,"X")))))))</f>
        <v>12</v>
      </c>
      <c r="S12" s="71"/>
      <c r="T12" s="71"/>
      <c r="U12" s="71"/>
      <c r="V12" s="72"/>
      <c r="X12" s="70" t="str">
        <f>IF(B4=8,15,"X")</f>
        <v>X</v>
      </c>
      <c r="Y12" s="71"/>
      <c r="Z12" s="71"/>
      <c r="AA12" s="71"/>
      <c r="AB12" s="71"/>
      <c r="AC12" s="72"/>
      <c r="AD12" s="17"/>
      <c r="AE12" s="70" t="str">
        <f>IF(B4=8,28,"X")</f>
        <v>X</v>
      </c>
      <c r="AF12" s="71"/>
      <c r="AG12" s="71"/>
      <c r="AH12" s="71"/>
      <c r="AI12" s="71"/>
      <c r="AJ12" s="72"/>
      <c r="AK12" s="34"/>
      <c r="AQ12" s="47"/>
    </row>
    <row r="13" spans="1:43" s="5" customFormat="1" ht="9" customHeight="1" x14ac:dyDescent="0.2">
      <c r="A13" s="28"/>
      <c r="AK13" s="29"/>
      <c r="AQ13" s="46"/>
    </row>
    <row r="14" spans="1:43" s="8" customFormat="1" ht="5.0999999999999996" customHeight="1" x14ac:dyDescent="0.25">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Q14" s="49"/>
    </row>
    <row r="15" spans="1:43" s="8" customFormat="1" ht="6.95" customHeight="1" thickBot="1" x14ac:dyDescent="0.3">
      <c r="A15" s="35"/>
      <c r="AK15" s="36"/>
      <c r="AQ15" s="49"/>
    </row>
    <row r="16" spans="1:43" s="11" customFormat="1" ht="24.95" customHeight="1" thickBot="1" x14ac:dyDescent="0.2">
      <c r="A16" s="37"/>
      <c r="B16" s="101" t="str">
        <f>CONCATENATE(B4," / ",D4)</f>
        <v>10 / 2022</v>
      </c>
      <c r="C16" s="102"/>
      <c r="D16" s="103"/>
      <c r="E16" s="9"/>
      <c r="F16" s="97" t="s">
        <v>1</v>
      </c>
      <c r="G16" s="98"/>
      <c r="H16" s="9"/>
      <c r="I16" s="104" t="s">
        <v>10</v>
      </c>
      <c r="J16" s="105"/>
      <c r="K16" s="9"/>
      <c r="L16" s="104" t="s">
        <v>3</v>
      </c>
      <c r="M16" s="105"/>
      <c r="N16" s="9"/>
      <c r="O16" s="97" t="s">
        <v>2</v>
      </c>
      <c r="P16" s="98"/>
      <c r="Q16" s="9"/>
      <c r="R16" s="97" t="s">
        <v>4</v>
      </c>
      <c r="S16" s="98"/>
      <c r="T16" s="9"/>
      <c r="U16" s="97" t="s">
        <v>7</v>
      </c>
      <c r="V16" s="98"/>
      <c r="W16" s="9"/>
      <c r="X16" s="97" t="s">
        <v>8</v>
      </c>
      <c r="Y16" s="98"/>
      <c r="Z16" s="9"/>
      <c r="AA16" s="9"/>
      <c r="AB16" s="97" t="s">
        <v>6</v>
      </c>
      <c r="AC16" s="98"/>
      <c r="AD16" s="9"/>
      <c r="AE16" s="97" t="s">
        <v>0</v>
      </c>
      <c r="AF16" s="98"/>
      <c r="AG16" s="9"/>
      <c r="AH16" s="10"/>
      <c r="AI16" s="97" t="s">
        <v>18</v>
      </c>
      <c r="AJ16" s="98"/>
      <c r="AK16" s="38"/>
      <c r="AQ16" s="50"/>
    </row>
    <row r="17" spans="1:43" s="7" customFormat="1" ht="5.0999999999999996" customHeight="1" x14ac:dyDescent="0.25">
      <c r="A17" s="28"/>
      <c r="E17" s="8"/>
      <c r="H17" s="8"/>
      <c r="K17" s="8"/>
      <c r="N17" s="8"/>
      <c r="AK17" s="32"/>
      <c r="AQ17" s="46"/>
    </row>
    <row r="18" spans="1:43" s="5" customFormat="1" ht="14.1" customHeight="1" x14ac:dyDescent="0.25">
      <c r="A18" s="28"/>
      <c r="B18" s="21">
        <v>1</v>
      </c>
      <c r="C18"/>
      <c r="D18" s="22" t="str">
        <f>PROPER(TEXT(DATE(D4,B4,1),"DDDDDDDD"))</f>
        <v>Sábado</v>
      </c>
      <c r="E18" s="8"/>
      <c r="F18" s="65"/>
      <c r="G18" s="66"/>
      <c r="H18" s="8"/>
      <c r="I18" s="65"/>
      <c r="J18" s="66"/>
      <c r="K18" s="8"/>
      <c r="L18" s="65"/>
      <c r="M18" s="66"/>
      <c r="N18" s="8"/>
      <c r="O18" s="65"/>
      <c r="P18" s="66"/>
      <c r="Q18" s="12"/>
      <c r="R18" s="80">
        <f>SUM(I18-F18)+(O18-L18)</f>
        <v>0</v>
      </c>
      <c r="S18" s="81"/>
      <c r="T18" s="12"/>
      <c r="U18" s="99">
        <v>0.3666666666666667</v>
      </c>
      <c r="V18" s="100"/>
      <c r="W18" s="7"/>
      <c r="X18" s="75">
        <f>IF(R18&gt;U18,R18-U18,0)</f>
        <v>0</v>
      </c>
      <c r="Y18" s="76"/>
      <c r="Z18" s="7"/>
      <c r="AA18" s="7"/>
      <c r="AB18" s="77">
        <f>IF(D18="SÁBADO",X18,0)</f>
        <v>0</v>
      </c>
      <c r="AC18" s="78"/>
      <c r="AD18" s="7"/>
      <c r="AE18" s="90">
        <f>IF(D18="DOMINGO",X18,0)</f>
        <v>0</v>
      </c>
      <c r="AF18" s="91"/>
      <c r="AH18" s="13">
        <v>0.91666666666666663</v>
      </c>
      <c r="AI18" s="88">
        <f>IF(OR(D18="sábado",D18="domingo",B18=R12,B18=X12,B18=AE12,R18&gt;=U18),0,U18-R18)</f>
        <v>0</v>
      </c>
      <c r="AJ18" s="89"/>
      <c r="AK18" s="29"/>
      <c r="AQ18" s="46"/>
    </row>
    <row r="19" spans="1:43" s="7" customFormat="1" ht="3" customHeight="1" x14ac:dyDescent="0.25">
      <c r="A19" s="28"/>
      <c r="C19"/>
      <c r="D19" s="19"/>
      <c r="E19" s="8"/>
      <c r="H19" s="8"/>
      <c r="K19" s="8"/>
      <c r="N19" s="8"/>
      <c r="R19" s="14"/>
      <c r="S19" s="14"/>
      <c r="U19" s="19"/>
      <c r="V19" s="19"/>
      <c r="X19" s="20"/>
      <c r="Y19" s="20"/>
      <c r="AI19" s="19"/>
      <c r="AJ19" s="19"/>
      <c r="AK19" s="32"/>
      <c r="AQ19" s="46"/>
    </row>
    <row r="20" spans="1:43" s="5" customFormat="1" ht="14.1" customHeight="1" x14ac:dyDescent="0.25">
      <c r="A20" s="28"/>
      <c r="B20" s="21">
        <v>2</v>
      </c>
      <c r="C20"/>
      <c r="D20" s="22" t="str">
        <f>Prox_Dia(D18)</f>
        <v>Domingo</v>
      </c>
      <c r="E20" s="8"/>
      <c r="F20" s="65"/>
      <c r="G20" s="66"/>
      <c r="H20" s="8"/>
      <c r="I20" s="65"/>
      <c r="J20" s="66"/>
      <c r="K20" s="8"/>
      <c r="L20" s="65"/>
      <c r="M20" s="66"/>
      <c r="N20" s="8"/>
      <c r="O20" s="65"/>
      <c r="P20" s="66"/>
      <c r="Q20" s="12"/>
      <c r="R20" s="80">
        <f>SUM(I20-F20)+(O20-L20)</f>
        <v>0</v>
      </c>
      <c r="S20" s="81"/>
      <c r="T20" s="12"/>
      <c r="U20" s="73">
        <f>U18</f>
        <v>0.3666666666666667</v>
      </c>
      <c r="V20" s="74"/>
      <c r="W20" s="7"/>
      <c r="X20" s="75">
        <f>IF(R20&gt;U20,R20-U20,0)</f>
        <v>0</v>
      </c>
      <c r="Y20" s="76"/>
      <c r="Z20" s="7"/>
      <c r="AA20" s="7"/>
      <c r="AB20" s="77">
        <f>IF(D20="SÁBADO",X20+X18,0)</f>
        <v>0</v>
      </c>
      <c r="AC20" s="78"/>
      <c r="AD20" s="7"/>
      <c r="AE20" s="90">
        <f>IF(D20="DOMINGO",X20,0)</f>
        <v>0</v>
      </c>
      <c r="AF20" s="91"/>
      <c r="AH20" s="13">
        <v>0.91666666666666663</v>
      </c>
      <c r="AI20" s="88">
        <f>IF(OR(D20="sábado",D20="domingo",B20=R14,B20=X14,B20=AE14,R20&gt;=U20),0,U20-R20)</f>
        <v>0</v>
      </c>
      <c r="AJ20" s="89"/>
      <c r="AK20" s="29"/>
      <c r="AQ20" s="46"/>
    </row>
    <row r="21" spans="1:43" s="7" customFormat="1" ht="3" customHeight="1" x14ac:dyDescent="0.25">
      <c r="A21" s="28"/>
      <c r="C21"/>
      <c r="D21" s="19"/>
      <c r="E21" s="8"/>
      <c r="H21" s="8"/>
      <c r="K21" s="8"/>
      <c r="N21" s="8"/>
      <c r="R21" s="14"/>
      <c r="S21" s="14"/>
      <c r="U21" s="19"/>
      <c r="V21" s="19"/>
      <c r="X21" s="20"/>
      <c r="Y21" s="20"/>
      <c r="AI21" s="19"/>
      <c r="AJ21" s="19"/>
      <c r="AK21" s="32"/>
      <c r="AQ21" s="46"/>
    </row>
    <row r="22" spans="1:43" s="5" customFormat="1" ht="14.1" customHeight="1" x14ac:dyDescent="0.25">
      <c r="A22" s="28"/>
      <c r="B22" s="21">
        <v>3</v>
      </c>
      <c r="C22"/>
      <c r="D22" s="22" t="str">
        <f t="shared" ref="D22" si="0">Prox_Dia(D20)</f>
        <v>Segunda-Feira</v>
      </c>
      <c r="E22" s="8"/>
      <c r="F22" s="65"/>
      <c r="G22" s="66"/>
      <c r="H22" s="8"/>
      <c r="I22" s="65"/>
      <c r="J22" s="66"/>
      <c r="K22" s="8"/>
      <c r="L22" s="65"/>
      <c r="M22" s="66"/>
      <c r="N22" s="8"/>
      <c r="O22" s="65"/>
      <c r="P22" s="66"/>
      <c r="Q22" s="12"/>
      <c r="R22" s="80">
        <f>SUM(I22-F22)+(O22-L22)</f>
        <v>0</v>
      </c>
      <c r="S22" s="81"/>
      <c r="T22" s="12"/>
      <c r="U22" s="73">
        <f>U18</f>
        <v>0.3666666666666667</v>
      </c>
      <c r="V22" s="74"/>
      <c r="W22" s="7"/>
      <c r="X22" s="75">
        <f>IF(R22&gt;U22,R22-U22,0)</f>
        <v>0</v>
      </c>
      <c r="Y22" s="76"/>
      <c r="Z22" s="7"/>
      <c r="AA22" s="7"/>
      <c r="AB22" s="77">
        <f>IF(D22="SÁBADO",X18+X20+X22,0)</f>
        <v>0</v>
      </c>
      <c r="AC22" s="78"/>
      <c r="AD22" s="7"/>
      <c r="AE22" s="90">
        <f>IF(D22="DOMINGO",X22,0)</f>
        <v>0</v>
      </c>
      <c r="AF22" s="91"/>
      <c r="AH22" s="13">
        <v>0.91666666666666663</v>
      </c>
      <c r="AI22" s="88">
        <f>IF(OR(D22="sábado",D22="domingo",B22=R16,B22=X16,B22=AE16,R22&gt;=U22),0,U22-R22)</f>
        <v>0.3666666666666667</v>
      </c>
      <c r="AJ22" s="89"/>
      <c r="AK22" s="29"/>
      <c r="AQ22" s="46"/>
    </row>
    <row r="23" spans="1:43" s="7" customFormat="1" ht="3" customHeight="1" x14ac:dyDescent="0.25">
      <c r="A23" s="28"/>
      <c r="C23"/>
      <c r="D23" s="19"/>
      <c r="E23" s="8"/>
      <c r="H23" s="8"/>
      <c r="I23" s="44"/>
      <c r="K23" s="8"/>
      <c r="N23" s="8"/>
      <c r="R23" s="14"/>
      <c r="S23" s="14"/>
      <c r="U23" s="19"/>
      <c r="V23" s="19"/>
      <c r="X23" s="20"/>
      <c r="Y23" s="20"/>
      <c r="AI23" s="19"/>
      <c r="AJ23" s="19"/>
      <c r="AK23" s="32"/>
      <c r="AQ23" s="46"/>
    </row>
    <row r="24" spans="1:43" s="5" customFormat="1" ht="14.1" customHeight="1" x14ac:dyDescent="0.25">
      <c r="A24" s="28"/>
      <c r="B24" s="21">
        <v>4</v>
      </c>
      <c r="C24"/>
      <c r="D24" s="22" t="str">
        <f t="shared" ref="D24" si="1">Prox_Dia(D22)</f>
        <v>Terça-Feira</v>
      </c>
      <c r="E24" s="8"/>
      <c r="F24" s="65">
        <v>0.33333333333333331</v>
      </c>
      <c r="G24" s="66"/>
      <c r="H24" s="8"/>
      <c r="I24" s="65">
        <v>0.54166666666666663</v>
      </c>
      <c r="J24" s="66"/>
      <c r="K24" s="8"/>
      <c r="L24" s="65">
        <v>0.5625</v>
      </c>
      <c r="M24" s="66"/>
      <c r="N24" s="8"/>
      <c r="O24" s="65">
        <v>0.79166666666666663</v>
      </c>
      <c r="P24" s="66"/>
      <c r="Q24" s="12"/>
      <c r="R24" s="80">
        <f>SUM(I24-F24)+(O24-L24)</f>
        <v>0.43749999999999994</v>
      </c>
      <c r="S24" s="81"/>
      <c r="T24" s="12"/>
      <c r="U24" s="73">
        <f>U18</f>
        <v>0.3666666666666667</v>
      </c>
      <c r="V24" s="74"/>
      <c r="W24" s="7"/>
      <c r="X24" s="75">
        <f>IF(R24&gt;U24,R24-U24,0)</f>
        <v>7.0833333333333248E-2</v>
      </c>
      <c r="Y24" s="76"/>
      <c r="Z24" s="7"/>
      <c r="AA24" s="7"/>
      <c r="AB24" s="77">
        <f>IF(D24="SÁBADO",X18+X20+X22+X24,0)</f>
        <v>0</v>
      </c>
      <c r="AC24" s="78"/>
      <c r="AD24" s="7"/>
      <c r="AE24" s="90">
        <f>IF(D24="DOMINGO",X24,0)</f>
        <v>0</v>
      </c>
      <c r="AF24" s="91"/>
      <c r="AH24" s="13">
        <v>0.91666666666666696</v>
      </c>
      <c r="AI24" s="88">
        <f>IF(OR(D24="sábado",D24="domingo",B24=R18,B24=X18,B24=AE18,R24&gt;=U24),0,U24-R24)</f>
        <v>0</v>
      </c>
      <c r="AJ24" s="89"/>
      <c r="AK24" s="29"/>
      <c r="AQ24" s="46"/>
    </row>
    <row r="25" spans="1:43" s="7" customFormat="1" ht="3" customHeight="1" x14ac:dyDescent="0.25">
      <c r="A25" s="28"/>
      <c r="C25"/>
      <c r="D25" s="19"/>
      <c r="E25" s="8"/>
      <c r="H25" s="8"/>
      <c r="K25" s="8"/>
      <c r="N25" s="8"/>
      <c r="R25" s="14"/>
      <c r="S25" s="14"/>
      <c r="U25" s="19"/>
      <c r="V25" s="19"/>
      <c r="X25" s="20"/>
      <c r="Y25" s="20"/>
      <c r="AI25" s="19"/>
      <c r="AJ25" s="19"/>
      <c r="AK25" s="32"/>
      <c r="AQ25" s="46"/>
    </row>
    <row r="26" spans="1:43" s="5" customFormat="1" ht="14.1" customHeight="1" x14ac:dyDescent="0.25">
      <c r="A26" s="28"/>
      <c r="B26" s="21">
        <v>5</v>
      </c>
      <c r="C26"/>
      <c r="D26" s="22" t="str">
        <f t="shared" ref="D26" si="2">Prox_Dia(D24)</f>
        <v>Quarta-Feira</v>
      </c>
      <c r="E26" s="8"/>
      <c r="F26" s="65"/>
      <c r="G26" s="66"/>
      <c r="H26" s="8"/>
      <c r="I26" s="65"/>
      <c r="J26" s="66"/>
      <c r="K26" s="8"/>
      <c r="L26" s="65"/>
      <c r="M26" s="66"/>
      <c r="N26" s="8"/>
      <c r="O26" s="65"/>
      <c r="P26" s="66"/>
      <c r="Q26" s="12"/>
      <c r="R26" s="80">
        <f>SUM(I26-F26)+(O26-L26)</f>
        <v>0</v>
      </c>
      <c r="S26" s="81"/>
      <c r="T26" s="12"/>
      <c r="U26" s="73">
        <f>U18</f>
        <v>0.3666666666666667</v>
      </c>
      <c r="V26" s="74"/>
      <c r="W26" s="7"/>
      <c r="X26" s="75">
        <f>IF(R26&gt;U26,R26-U26,0)</f>
        <v>0</v>
      </c>
      <c r="Y26" s="76"/>
      <c r="Z26" s="7"/>
      <c r="AA26" s="7"/>
      <c r="AB26" s="77">
        <f>IF(D26="SÁBADO",X18+X20+X22+X24+X26,0)</f>
        <v>0</v>
      </c>
      <c r="AC26" s="78"/>
      <c r="AD26" s="7"/>
      <c r="AE26" s="90">
        <f>IF(D26="DOMINGO",X26,0)</f>
        <v>0</v>
      </c>
      <c r="AF26" s="91"/>
      <c r="AH26" s="13">
        <v>0.91666666666666696</v>
      </c>
      <c r="AI26" s="88">
        <f>IF(OR(D26="sábado",D26="domingo",B26=R20,B26=X20,B26=AE20,R26&gt;=U26),0,U26-R26)</f>
        <v>0.3666666666666667</v>
      </c>
      <c r="AJ26" s="89"/>
      <c r="AK26" s="29"/>
      <c r="AM26" s="7"/>
      <c r="AN26" s="7"/>
      <c r="AQ26" s="46"/>
    </row>
    <row r="27" spans="1:43" s="7" customFormat="1" ht="3" customHeight="1" x14ac:dyDescent="0.25">
      <c r="A27" s="28"/>
      <c r="C27"/>
      <c r="D27" s="19"/>
      <c r="E27" s="8"/>
      <c r="H27" s="8"/>
      <c r="K27" s="8"/>
      <c r="N27" s="8"/>
      <c r="R27" s="14"/>
      <c r="S27" s="14"/>
      <c r="U27" s="19"/>
      <c r="V27" s="19"/>
      <c r="X27" s="20"/>
      <c r="Y27" s="20"/>
      <c r="AI27" s="19"/>
      <c r="AJ27" s="19"/>
      <c r="AK27" s="32"/>
      <c r="AQ27" s="46"/>
    </row>
    <row r="28" spans="1:43" s="5" customFormat="1" ht="14.1" customHeight="1" x14ac:dyDescent="0.25">
      <c r="A28" s="28"/>
      <c r="B28" s="21">
        <v>6</v>
      </c>
      <c r="C28"/>
      <c r="D28" s="22" t="str">
        <f t="shared" ref="D28" si="3">Prox_Dia(D26)</f>
        <v>Quinta-Feira</v>
      </c>
      <c r="E28" s="8"/>
      <c r="F28" s="65"/>
      <c r="G28" s="66"/>
      <c r="H28" s="8"/>
      <c r="I28" s="65"/>
      <c r="J28" s="66"/>
      <c r="K28" s="8"/>
      <c r="L28" s="65"/>
      <c r="M28" s="66"/>
      <c r="N28" s="8"/>
      <c r="O28" s="65"/>
      <c r="P28" s="66"/>
      <c r="Q28" s="12"/>
      <c r="R28" s="80">
        <f>SUM(I28-F28)+(O28-L28)</f>
        <v>0</v>
      </c>
      <c r="S28" s="81"/>
      <c r="T28" s="12"/>
      <c r="U28" s="73">
        <f>U18</f>
        <v>0.3666666666666667</v>
      </c>
      <c r="V28" s="74"/>
      <c r="W28" s="7"/>
      <c r="X28" s="75">
        <f>IF(R28&gt;U28,R28-U28,0)</f>
        <v>0</v>
      </c>
      <c r="Y28" s="76"/>
      <c r="Z28" s="7"/>
      <c r="AA28" s="7"/>
      <c r="AB28" s="77">
        <f>IF(D28="SÁBADO",X18+X20+X22+X24+X26+X28,0)</f>
        <v>0</v>
      </c>
      <c r="AC28" s="78"/>
      <c r="AD28" s="7"/>
      <c r="AE28" s="90">
        <f>IF(D28="DOMINGO",X28,0)</f>
        <v>0</v>
      </c>
      <c r="AF28" s="91"/>
      <c r="AH28" s="13">
        <v>0.91666666666666696</v>
      </c>
      <c r="AI28" s="88">
        <f>IF(OR(D28="sábado",D28="domingo",B28=R22,B28=X22,B28=AE22,R28&gt;=U28),0,U28-R28)</f>
        <v>0.3666666666666667</v>
      </c>
      <c r="AJ28" s="89"/>
      <c r="AK28" s="29"/>
      <c r="AM28" s="7"/>
      <c r="AN28" s="7"/>
      <c r="AQ28" s="46"/>
    </row>
    <row r="29" spans="1:43" s="7" customFormat="1" ht="3" customHeight="1" x14ac:dyDescent="0.25">
      <c r="A29" s="28"/>
      <c r="C29"/>
      <c r="D29" s="19"/>
      <c r="E29" s="8"/>
      <c r="H29" s="8"/>
      <c r="K29" s="8"/>
      <c r="N29" s="8"/>
      <c r="R29" s="14"/>
      <c r="S29" s="14"/>
      <c r="U29" s="19"/>
      <c r="V29" s="19"/>
      <c r="X29" s="20"/>
      <c r="Y29" s="20"/>
      <c r="AI29" s="19"/>
      <c r="AJ29" s="19"/>
      <c r="AK29" s="32"/>
      <c r="AQ29" s="46"/>
    </row>
    <row r="30" spans="1:43" s="5" customFormat="1" ht="14.1" customHeight="1" x14ac:dyDescent="0.25">
      <c r="A30" s="28"/>
      <c r="B30" s="21">
        <v>7</v>
      </c>
      <c r="C30"/>
      <c r="D30" s="22" t="str">
        <f t="shared" ref="D30" si="4">Prox_Dia(D28)</f>
        <v>Sexta-Feira</v>
      </c>
      <c r="E30" s="8"/>
      <c r="F30" s="65">
        <v>0.375</v>
      </c>
      <c r="G30" s="66"/>
      <c r="H30" s="8"/>
      <c r="I30" s="65">
        <v>0.41666666666666669</v>
      </c>
      <c r="J30" s="66"/>
      <c r="K30" s="8"/>
      <c r="L30" s="65">
        <v>0.5</v>
      </c>
      <c r="M30" s="66"/>
      <c r="N30" s="8"/>
      <c r="O30" s="65">
        <v>0.77777777777777779</v>
      </c>
      <c r="P30" s="66"/>
      <c r="Q30" s="12"/>
      <c r="R30" s="80">
        <f>SUM(I30-F30)+(O30-L30)</f>
        <v>0.31944444444444448</v>
      </c>
      <c r="S30" s="81"/>
      <c r="T30" s="12"/>
      <c r="U30" s="73">
        <f>U18</f>
        <v>0.3666666666666667</v>
      </c>
      <c r="V30" s="74"/>
      <c r="W30" s="7"/>
      <c r="X30" s="75">
        <f>IF(R30&gt;U30,R30-U30,0)</f>
        <v>0</v>
      </c>
      <c r="Y30" s="76"/>
      <c r="Z30" s="7"/>
      <c r="AA30" s="7"/>
      <c r="AB30" s="77">
        <f>IF(D30="SÁBADO",X20+X22+X24+X26+X28+X30,0)</f>
        <v>0</v>
      </c>
      <c r="AC30" s="78"/>
      <c r="AD30" s="7"/>
      <c r="AE30" s="90">
        <f>IF(D30="DOMINGO",X30,0)</f>
        <v>0</v>
      </c>
      <c r="AF30" s="91"/>
      <c r="AH30" s="13">
        <v>0.91666666666666696</v>
      </c>
      <c r="AI30" s="88">
        <f>IF(OR(D30="sábado",D30="domingo",B30=R24,B30=X24,B30=AE24,R30&gt;=U30),0,U30-R30)</f>
        <v>4.7222222222222221E-2</v>
      </c>
      <c r="AJ30" s="89"/>
      <c r="AK30" s="29"/>
      <c r="AQ30" s="46"/>
    </row>
    <row r="31" spans="1:43" s="7" customFormat="1" ht="3" customHeight="1" x14ac:dyDescent="0.25">
      <c r="A31" s="28"/>
      <c r="C31"/>
      <c r="D31" s="19"/>
      <c r="E31" s="8"/>
      <c r="H31" s="8"/>
      <c r="K31" s="8"/>
      <c r="N31" s="8"/>
      <c r="R31" s="14"/>
      <c r="S31" s="14"/>
      <c r="U31" s="19"/>
      <c r="V31" s="19"/>
      <c r="X31" s="20"/>
      <c r="Y31" s="20"/>
      <c r="AI31" s="19"/>
      <c r="AJ31" s="19"/>
      <c r="AK31" s="32"/>
      <c r="AQ31" s="46"/>
    </row>
    <row r="32" spans="1:43" s="5" customFormat="1" ht="14.1" customHeight="1" x14ac:dyDescent="0.25">
      <c r="A32" s="28"/>
      <c r="B32" s="21">
        <v>8</v>
      </c>
      <c r="C32"/>
      <c r="D32" s="22" t="str">
        <f t="shared" ref="D32" si="5">Prox_Dia(D30)</f>
        <v>Sábado</v>
      </c>
      <c r="E32" s="8"/>
      <c r="F32" s="65"/>
      <c r="G32" s="66"/>
      <c r="H32" s="8"/>
      <c r="I32" s="65"/>
      <c r="J32" s="66"/>
      <c r="K32" s="8"/>
      <c r="L32" s="65"/>
      <c r="M32" s="66"/>
      <c r="N32" s="8"/>
      <c r="O32" s="65"/>
      <c r="P32" s="66"/>
      <c r="Q32" s="12"/>
      <c r="R32" s="80">
        <f>SUM(I32-F32)+(O32-L32)</f>
        <v>0</v>
      </c>
      <c r="S32" s="81"/>
      <c r="T32" s="12"/>
      <c r="U32" s="73">
        <f>U18</f>
        <v>0.3666666666666667</v>
      </c>
      <c r="V32" s="74"/>
      <c r="W32" s="7"/>
      <c r="X32" s="75">
        <f>IF(R32&gt;U32,R32-U32,0)</f>
        <v>0</v>
      </c>
      <c r="Y32" s="76"/>
      <c r="Z32" s="7"/>
      <c r="AA32" s="7"/>
      <c r="AB32" s="77">
        <f>IF(D32="SÁBADO",X22+X24+X26+X28+X30+X32,0)</f>
        <v>7.0833333333333248E-2</v>
      </c>
      <c r="AC32" s="78"/>
      <c r="AD32" s="7"/>
      <c r="AE32" s="90">
        <f>IF(D32="DOMINGO",X32,0)</f>
        <v>0</v>
      </c>
      <c r="AF32" s="91"/>
      <c r="AH32" s="13">
        <v>0.91666666666666696</v>
      </c>
      <c r="AI32" s="88">
        <f>IF(OR(D32="sábado",D32="domingo",B32=R26,B32=X26,B32=AE26,R32&gt;=U32),0,U32-R32)</f>
        <v>0</v>
      </c>
      <c r="AJ32" s="89"/>
      <c r="AK32" s="29"/>
      <c r="AQ32" s="46"/>
    </row>
    <row r="33" spans="1:43" s="7" customFormat="1" ht="3" customHeight="1" x14ac:dyDescent="0.25">
      <c r="A33" s="28"/>
      <c r="C33"/>
      <c r="D33" s="19"/>
      <c r="E33" s="8"/>
      <c r="H33" s="8"/>
      <c r="K33" s="8"/>
      <c r="N33" s="8"/>
      <c r="R33" s="14"/>
      <c r="S33" s="14"/>
      <c r="U33" s="19"/>
      <c r="V33" s="19"/>
      <c r="X33" s="20"/>
      <c r="Y33" s="20"/>
      <c r="AI33" s="19"/>
      <c r="AJ33" s="19"/>
      <c r="AK33" s="32"/>
      <c r="AQ33" s="46"/>
    </row>
    <row r="34" spans="1:43" s="5" customFormat="1" ht="14.1" customHeight="1" x14ac:dyDescent="0.25">
      <c r="A34" s="28"/>
      <c r="B34" s="21">
        <v>9</v>
      </c>
      <c r="C34"/>
      <c r="D34" s="22" t="str">
        <f t="shared" ref="D34" si="6">Prox_Dia(D32)</f>
        <v>Domingo</v>
      </c>
      <c r="E34" s="8"/>
      <c r="F34" s="65"/>
      <c r="G34" s="66"/>
      <c r="H34" s="8"/>
      <c r="I34" s="65"/>
      <c r="J34" s="66"/>
      <c r="K34" s="8"/>
      <c r="L34" s="65"/>
      <c r="M34" s="66"/>
      <c r="N34" s="8"/>
      <c r="O34" s="65"/>
      <c r="P34" s="66"/>
      <c r="Q34" s="12"/>
      <c r="R34" s="80">
        <f>SUM(I34-F34)+(O34-L34)</f>
        <v>0</v>
      </c>
      <c r="S34" s="81"/>
      <c r="T34" s="12"/>
      <c r="U34" s="73">
        <f>U18</f>
        <v>0.3666666666666667</v>
      </c>
      <c r="V34" s="74"/>
      <c r="W34" s="7"/>
      <c r="X34" s="75">
        <f>IF(R34&gt;U34,R34-U34,0)</f>
        <v>0</v>
      </c>
      <c r="Y34" s="76"/>
      <c r="Z34" s="7"/>
      <c r="AA34" s="7"/>
      <c r="AB34" s="77">
        <f>IF(D34="SÁBADO",X24+X26+X28+X30+X32+X34,0)</f>
        <v>0</v>
      </c>
      <c r="AC34" s="78"/>
      <c r="AD34" s="7"/>
      <c r="AE34" s="90">
        <f>IF(D34="DOMINGO",X34,0)</f>
        <v>0</v>
      </c>
      <c r="AF34" s="91"/>
      <c r="AH34" s="13">
        <v>0.91666666666666696</v>
      </c>
      <c r="AI34" s="88">
        <f>IF(OR(D34="sábado",D34="domingo",B34=R28,B34=X28,B34=AE28,R34&gt;=U34),0,U34-R34)</f>
        <v>0</v>
      </c>
      <c r="AJ34" s="89"/>
      <c r="AK34" s="29"/>
      <c r="AQ34" s="46"/>
    </row>
    <row r="35" spans="1:43" s="7" customFormat="1" ht="3" customHeight="1" x14ac:dyDescent="0.25">
      <c r="A35" s="28"/>
      <c r="C35"/>
      <c r="D35" s="19"/>
      <c r="E35" s="8"/>
      <c r="H35" s="8"/>
      <c r="K35" s="8"/>
      <c r="N35" s="8"/>
      <c r="R35" s="14"/>
      <c r="S35" s="14"/>
      <c r="U35" s="19"/>
      <c r="V35" s="19"/>
      <c r="X35" s="20"/>
      <c r="Y35" s="20"/>
      <c r="AI35" s="19"/>
      <c r="AJ35" s="19"/>
      <c r="AK35" s="32"/>
      <c r="AQ35" s="46"/>
    </row>
    <row r="36" spans="1:43" s="5" customFormat="1" ht="14.1" customHeight="1" x14ac:dyDescent="0.25">
      <c r="A36" s="28"/>
      <c r="B36" s="21">
        <v>10</v>
      </c>
      <c r="C36"/>
      <c r="D36" s="22" t="str">
        <f t="shared" ref="D36" si="7">Prox_Dia(D34)</f>
        <v>Segunda-Feira</v>
      </c>
      <c r="E36" s="8"/>
      <c r="F36" s="65">
        <v>0.375</v>
      </c>
      <c r="G36" s="66"/>
      <c r="H36" s="8"/>
      <c r="I36" s="65">
        <v>0.41666666666666669</v>
      </c>
      <c r="J36" s="66"/>
      <c r="K36" s="8"/>
      <c r="L36" s="65">
        <v>0.5</v>
      </c>
      <c r="M36" s="66"/>
      <c r="N36" s="8"/>
      <c r="O36" s="65">
        <v>0.77777777777777779</v>
      </c>
      <c r="P36" s="66"/>
      <c r="Q36" s="12"/>
      <c r="R36" s="80">
        <f>SUM(I36-F36)+(O36-L36)</f>
        <v>0.31944444444444448</v>
      </c>
      <c r="S36" s="81"/>
      <c r="T36" s="12"/>
      <c r="U36" s="73">
        <f>U18</f>
        <v>0.3666666666666667</v>
      </c>
      <c r="V36" s="74"/>
      <c r="W36" s="7"/>
      <c r="X36" s="75">
        <f>IF(R36&gt;U36,R36-U36,0)</f>
        <v>0</v>
      </c>
      <c r="Y36" s="76"/>
      <c r="Z36" s="7"/>
      <c r="AA36" s="7"/>
      <c r="AB36" s="77">
        <f>IF(D36="SÁBADO",X26+X28+X30+X32+X34+X36,0)</f>
        <v>0</v>
      </c>
      <c r="AC36" s="78"/>
      <c r="AD36" s="7"/>
      <c r="AE36" s="90">
        <f>IF(D36="DOMINGO",X36,0)</f>
        <v>0</v>
      </c>
      <c r="AF36" s="91"/>
      <c r="AH36" s="13">
        <v>0.91666666666666696</v>
      </c>
      <c r="AI36" s="88">
        <f>IF(OR(D36="sábado",D36="domingo",B36=R30,B36=X30,B36=AE30,R36&gt;=U36),0,U36-R36)</f>
        <v>4.7222222222222221E-2</v>
      </c>
      <c r="AJ36" s="89"/>
      <c r="AK36" s="29"/>
      <c r="AQ36" s="46"/>
    </row>
    <row r="37" spans="1:43" s="7" customFormat="1" ht="3" customHeight="1" x14ac:dyDescent="0.25">
      <c r="A37" s="28"/>
      <c r="C37"/>
      <c r="D37" s="19"/>
      <c r="E37" s="8"/>
      <c r="H37" s="8"/>
      <c r="I37" s="44"/>
      <c r="K37" s="8"/>
      <c r="N37" s="8"/>
      <c r="R37" s="14"/>
      <c r="S37" s="14"/>
      <c r="U37" s="19"/>
      <c r="V37" s="19"/>
      <c r="X37" s="20"/>
      <c r="Y37" s="20"/>
      <c r="AI37" s="19"/>
      <c r="AJ37" s="19"/>
      <c r="AK37" s="32"/>
      <c r="AQ37" s="46"/>
    </row>
    <row r="38" spans="1:43" s="5" customFormat="1" ht="14.1" customHeight="1" x14ac:dyDescent="0.25">
      <c r="A38" s="28"/>
      <c r="B38" s="21">
        <v>11</v>
      </c>
      <c r="C38"/>
      <c r="D38" s="22" t="str">
        <f t="shared" ref="D38" si="8">Prox_Dia(D36)</f>
        <v>Terça-Feira</v>
      </c>
      <c r="E38" s="8"/>
      <c r="F38" s="65"/>
      <c r="G38" s="66"/>
      <c r="H38" s="8"/>
      <c r="I38" s="65"/>
      <c r="J38" s="66"/>
      <c r="K38" s="8"/>
      <c r="L38" s="65"/>
      <c r="M38" s="66"/>
      <c r="N38" s="8"/>
      <c r="O38" s="65"/>
      <c r="P38" s="66"/>
      <c r="Q38" s="12"/>
      <c r="R38" s="80">
        <f>SUM(I38-F38)+(O38-L38)</f>
        <v>0</v>
      </c>
      <c r="S38" s="81"/>
      <c r="T38" s="12"/>
      <c r="U38" s="73">
        <f>U18</f>
        <v>0.3666666666666667</v>
      </c>
      <c r="V38" s="74"/>
      <c r="W38" s="7"/>
      <c r="X38" s="75">
        <f>IF(R38&gt;U38,R38-U38,0)</f>
        <v>0</v>
      </c>
      <c r="Y38" s="76"/>
      <c r="Z38" s="7"/>
      <c r="AA38" s="7"/>
      <c r="AB38" s="77">
        <f>IF(D38="SÁBADO",X28+X30+X32+X34+X36+X38,0)</f>
        <v>0</v>
      </c>
      <c r="AC38" s="78"/>
      <c r="AD38" s="7"/>
      <c r="AE38" s="90">
        <f>IF(D38="DOMINGO",X38,0)</f>
        <v>0</v>
      </c>
      <c r="AF38" s="91"/>
      <c r="AH38" s="13">
        <v>0.91666666666666696</v>
      </c>
      <c r="AI38" s="88">
        <f>IF(OR(D38="sábado",D38="domingo",B38=R32,B38=X32,B38=AE32,R38&gt;=U38),0,U38-R38)</f>
        <v>0.3666666666666667</v>
      </c>
      <c r="AJ38" s="89"/>
      <c r="AK38" s="29"/>
      <c r="AQ38" s="46"/>
    </row>
    <row r="39" spans="1:43" s="7" customFormat="1" ht="3" customHeight="1" x14ac:dyDescent="0.25">
      <c r="A39" s="28"/>
      <c r="C39"/>
      <c r="D39" s="19"/>
      <c r="E39" s="8"/>
      <c r="H39" s="8"/>
      <c r="K39" s="8"/>
      <c r="N39" s="8"/>
      <c r="R39" s="14"/>
      <c r="S39" s="14"/>
      <c r="U39" s="19"/>
      <c r="V39" s="19"/>
      <c r="X39" s="20"/>
      <c r="Y39" s="20"/>
      <c r="AI39" s="19"/>
      <c r="AJ39" s="19"/>
      <c r="AK39" s="32"/>
      <c r="AQ39" s="46"/>
    </row>
    <row r="40" spans="1:43" s="5" customFormat="1" ht="14.1" customHeight="1" x14ac:dyDescent="0.25">
      <c r="A40" s="28"/>
      <c r="B40" s="21">
        <v>12</v>
      </c>
      <c r="C40"/>
      <c r="D40" s="22" t="str">
        <f t="shared" ref="D40" si="9">Prox_Dia(D38)</f>
        <v>Quarta-Feira</v>
      </c>
      <c r="E40" s="8"/>
      <c r="F40" s="65">
        <v>0.375</v>
      </c>
      <c r="G40" s="66"/>
      <c r="H40" s="8"/>
      <c r="I40" s="65">
        <v>0.41666666666666669</v>
      </c>
      <c r="J40" s="66"/>
      <c r="K40" s="8"/>
      <c r="L40" s="65">
        <v>0.5</v>
      </c>
      <c r="M40" s="66"/>
      <c r="N40" s="8"/>
      <c r="O40" s="65">
        <v>0.77777777777777779</v>
      </c>
      <c r="P40" s="66"/>
      <c r="Q40" s="12"/>
      <c r="R40" s="80">
        <f>SUM(I40-F40)+(O40-L40)</f>
        <v>0.31944444444444448</v>
      </c>
      <c r="S40" s="81"/>
      <c r="T40" s="12"/>
      <c r="U40" s="73">
        <f>U18</f>
        <v>0.3666666666666667</v>
      </c>
      <c r="V40" s="74"/>
      <c r="W40" s="7"/>
      <c r="X40" s="75">
        <f>IF(R40&gt;U40,R40-U40,0)</f>
        <v>0</v>
      </c>
      <c r="Y40" s="76"/>
      <c r="Z40" s="7"/>
      <c r="AA40" s="7"/>
      <c r="AB40" s="77">
        <f>IF(D40="SÁBADO",X30+X32+X34+X36+X38+X40,0)</f>
        <v>0</v>
      </c>
      <c r="AC40" s="78"/>
      <c r="AD40" s="7"/>
      <c r="AE40" s="90">
        <f>IF(D40="DOMINGO",X40,0)</f>
        <v>0</v>
      </c>
      <c r="AF40" s="91"/>
      <c r="AH40" s="13">
        <v>0.91666666666666696</v>
      </c>
      <c r="AI40" s="88">
        <f>IF(OR(D40="sábado",D40="domingo",B40=R34,B40=X34,B40=AE34,R40&gt;=U40),0,U40-R40)</f>
        <v>4.7222222222222221E-2</v>
      </c>
      <c r="AJ40" s="89"/>
      <c r="AK40" s="29"/>
      <c r="AQ40" s="46"/>
    </row>
    <row r="41" spans="1:43" s="7" customFormat="1" ht="3" customHeight="1" x14ac:dyDescent="0.25">
      <c r="A41" s="28"/>
      <c r="C41"/>
      <c r="D41" s="19"/>
      <c r="E41" s="8"/>
      <c r="H41" s="8"/>
      <c r="K41" s="8"/>
      <c r="N41" s="8"/>
      <c r="R41" s="14"/>
      <c r="S41" s="14"/>
      <c r="U41" s="19"/>
      <c r="V41" s="19"/>
      <c r="X41" s="20"/>
      <c r="Y41" s="20"/>
      <c r="AI41" s="19"/>
      <c r="AJ41" s="19"/>
      <c r="AK41" s="32"/>
      <c r="AQ41" s="46"/>
    </row>
    <row r="42" spans="1:43" s="5" customFormat="1" ht="14.1" customHeight="1" thickBot="1" x14ac:dyDescent="0.3">
      <c r="A42" s="28"/>
      <c r="B42" s="21">
        <v>13</v>
      </c>
      <c r="C42"/>
      <c r="D42" s="22" t="str">
        <f t="shared" ref="D42" si="10">Prox_Dia(D40)</f>
        <v>Quinta-Feira</v>
      </c>
      <c r="E42" s="8"/>
      <c r="F42" s="65">
        <v>0.5625</v>
      </c>
      <c r="G42" s="66"/>
      <c r="H42" s="8"/>
      <c r="I42" s="65">
        <v>0.6875</v>
      </c>
      <c r="J42" s="66"/>
      <c r="K42" s="8"/>
      <c r="L42" s="65"/>
      <c r="M42" s="66"/>
      <c r="N42" s="8"/>
      <c r="O42" s="65"/>
      <c r="P42" s="66"/>
      <c r="Q42" s="12"/>
      <c r="R42" s="80">
        <f>SUM(I42-F42)+(O42-L42)</f>
        <v>0.125</v>
      </c>
      <c r="S42" s="81"/>
      <c r="T42" s="12"/>
      <c r="U42" s="73">
        <f>U18</f>
        <v>0.3666666666666667</v>
      </c>
      <c r="V42" s="74"/>
      <c r="W42" s="7"/>
      <c r="X42" s="75">
        <f>IF(R42&gt;U42,R42-U42,0)</f>
        <v>0</v>
      </c>
      <c r="Y42" s="76"/>
      <c r="Z42" s="7"/>
      <c r="AA42" s="7"/>
      <c r="AB42" s="77">
        <f>IF(D42="SÁBADO",X32+X34+X36+X38+X40+X42,0)</f>
        <v>0</v>
      </c>
      <c r="AC42" s="78"/>
      <c r="AD42" s="7"/>
      <c r="AE42" s="95">
        <f>IF(D42="DOMINGO",X42,0)</f>
        <v>0</v>
      </c>
      <c r="AF42" s="96"/>
      <c r="AH42" s="13">
        <v>0.91666666666666696</v>
      </c>
      <c r="AI42" s="88">
        <f>IF(OR(D42="sábado",D42="domingo",B42=R36,B42=X36,B42=AE36,R42&gt;=U42),0,U42-R42)</f>
        <v>0.2416666666666667</v>
      </c>
      <c r="AJ42" s="89"/>
      <c r="AK42" s="29"/>
      <c r="AQ42" s="46"/>
    </row>
    <row r="43" spans="1:43" s="7" customFormat="1" ht="3" customHeight="1" x14ac:dyDescent="0.25">
      <c r="A43" s="28"/>
      <c r="C43"/>
      <c r="D43" s="19"/>
      <c r="E43" s="8"/>
      <c r="H43" s="8"/>
      <c r="K43" s="8"/>
      <c r="N43" s="8"/>
      <c r="R43" s="14"/>
      <c r="S43" s="14"/>
      <c r="U43" s="19"/>
      <c r="V43" s="19"/>
      <c r="X43" s="20"/>
      <c r="Y43" s="20"/>
      <c r="AI43" s="19"/>
      <c r="AJ43" s="19"/>
      <c r="AK43" s="32"/>
      <c r="AQ43" s="46"/>
    </row>
    <row r="44" spans="1:43" s="5" customFormat="1" ht="14.1" customHeight="1" x14ac:dyDescent="0.25">
      <c r="A44" s="28"/>
      <c r="B44" s="21">
        <v>14</v>
      </c>
      <c r="C44"/>
      <c r="D44" s="22" t="str">
        <f t="shared" ref="D44" si="11">Prox_Dia(D42)</f>
        <v>Sexta-Feira</v>
      </c>
      <c r="E44" s="8"/>
      <c r="F44" s="65">
        <v>0.375</v>
      </c>
      <c r="G44" s="66"/>
      <c r="H44" s="8"/>
      <c r="I44" s="65">
        <v>0.41666666666666669</v>
      </c>
      <c r="J44" s="66"/>
      <c r="K44" s="8"/>
      <c r="L44" s="65">
        <v>0.5</v>
      </c>
      <c r="M44" s="66"/>
      <c r="N44" s="8"/>
      <c r="O44" s="65">
        <v>0.77777777777777779</v>
      </c>
      <c r="P44" s="66"/>
      <c r="Q44" s="12"/>
      <c r="R44" s="80">
        <f>SUM(I44-F44)+(O44-L44)</f>
        <v>0.31944444444444448</v>
      </c>
      <c r="S44" s="81"/>
      <c r="T44" s="12"/>
      <c r="U44" s="73">
        <f>U18</f>
        <v>0.3666666666666667</v>
      </c>
      <c r="V44" s="74"/>
      <c r="W44" s="7"/>
      <c r="X44" s="75">
        <f>IF(R44&gt;U44,R44-U44,0)</f>
        <v>0</v>
      </c>
      <c r="Y44" s="76"/>
      <c r="Z44" s="7"/>
      <c r="AA44" s="7"/>
      <c r="AB44" s="77">
        <f>IF(D44="SÁBADO",X34+X36+X38+X40+X42+X44,0)</f>
        <v>0</v>
      </c>
      <c r="AC44" s="78"/>
      <c r="AD44" s="7"/>
      <c r="AE44" s="90">
        <f>IF(D44="DOMINGO",X44,0)</f>
        <v>0</v>
      </c>
      <c r="AF44" s="91"/>
      <c r="AH44" s="13">
        <v>0.91666666666666696</v>
      </c>
      <c r="AI44" s="88">
        <f>IF(OR(D44="sábado",D44="domingo",B44=R38,B44=X38,B44=AE38,R44&gt;=U44),0,U44-R44)</f>
        <v>4.7222222222222221E-2</v>
      </c>
      <c r="AJ44" s="89"/>
      <c r="AK44" s="29"/>
      <c r="AQ44" s="46"/>
    </row>
    <row r="45" spans="1:43" s="7" customFormat="1" ht="3" customHeight="1" x14ac:dyDescent="0.25">
      <c r="A45" s="28"/>
      <c r="C45"/>
      <c r="D45" s="19"/>
      <c r="E45" s="8"/>
      <c r="H45" s="8"/>
      <c r="K45" s="8"/>
      <c r="N45" s="8"/>
      <c r="R45" s="14"/>
      <c r="S45" s="14"/>
      <c r="U45" s="19"/>
      <c r="V45" s="19"/>
      <c r="X45" s="20"/>
      <c r="Y45" s="20"/>
      <c r="AI45" s="19"/>
      <c r="AJ45" s="19"/>
      <c r="AK45" s="32"/>
      <c r="AQ45" s="46"/>
    </row>
    <row r="46" spans="1:43" s="5" customFormat="1" ht="14.1" customHeight="1" x14ac:dyDescent="0.25">
      <c r="A46" s="28"/>
      <c r="B46" s="21">
        <v>15</v>
      </c>
      <c r="C46"/>
      <c r="D46" s="22" t="str">
        <f t="shared" ref="D46" si="12">Prox_Dia(D44)</f>
        <v>Sábado</v>
      </c>
      <c r="E46" s="8"/>
      <c r="F46" s="65">
        <v>0.5625</v>
      </c>
      <c r="G46" s="66"/>
      <c r="H46" s="8"/>
      <c r="I46" s="65">
        <v>0.6875</v>
      </c>
      <c r="J46" s="66"/>
      <c r="K46" s="8"/>
      <c r="L46" s="65"/>
      <c r="M46" s="66"/>
      <c r="N46" s="8"/>
      <c r="O46" s="65"/>
      <c r="P46" s="66"/>
      <c r="Q46" s="12"/>
      <c r="R46" s="80">
        <f>SUM(I46-F46)+(O46-L46)</f>
        <v>0.125</v>
      </c>
      <c r="S46" s="81"/>
      <c r="T46" s="12"/>
      <c r="U46" s="73">
        <f>U18</f>
        <v>0.3666666666666667</v>
      </c>
      <c r="V46" s="74"/>
      <c r="W46" s="7"/>
      <c r="X46" s="75">
        <f>IF(R46&gt;U46,R46-U46,0)</f>
        <v>0</v>
      </c>
      <c r="Y46" s="76"/>
      <c r="Z46" s="7"/>
      <c r="AA46" s="7"/>
      <c r="AB46" s="77">
        <f>IF(D46="SÁBADO",X36+X38+X40+X42+X44+X46,0)</f>
        <v>0</v>
      </c>
      <c r="AC46" s="78"/>
      <c r="AD46" s="7"/>
      <c r="AE46" s="90">
        <f>IF(D46="DOMINGO",X46,0)</f>
        <v>0</v>
      </c>
      <c r="AF46" s="91"/>
      <c r="AH46" s="13">
        <v>0.91666666666666696</v>
      </c>
      <c r="AI46" s="88">
        <f>IF(OR(D46="sábado",D46="domingo",B46=R40,B46=X40,B46=AE40,R46&gt;=U46),0,U46-R46)</f>
        <v>0</v>
      </c>
      <c r="AJ46" s="89"/>
      <c r="AK46" s="29"/>
      <c r="AQ46" s="46"/>
    </row>
    <row r="47" spans="1:43" s="7" customFormat="1" ht="3" customHeight="1" x14ac:dyDescent="0.25">
      <c r="A47" s="28"/>
      <c r="C47"/>
      <c r="D47" s="19"/>
      <c r="E47" s="8"/>
      <c r="H47" s="8"/>
      <c r="K47" s="8"/>
      <c r="N47" s="8"/>
      <c r="R47" s="14"/>
      <c r="S47" s="14"/>
      <c r="U47" s="19"/>
      <c r="V47" s="19"/>
      <c r="X47" s="20"/>
      <c r="Y47" s="20"/>
      <c r="AI47" s="19"/>
      <c r="AJ47" s="19"/>
      <c r="AK47" s="32"/>
      <c r="AQ47" s="46"/>
    </row>
    <row r="48" spans="1:43" s="5" customFormat="1" ht="14.1" customHeight="1" x14ac:dyDescent="0.25">
      <c r="A48" s="28"/>
      <c r="B48" s="21">
        <v>16</v>
      </c>
      <c r="C48"/>
      <c r="D48" s="22" t="str">
        <f t="shared" ref="D48" si="13">Prox_Dia(D46)</f>
        <v>Domingo</v>
      </c>
      <c r="E48" s="8"/>
      <c r="F48" s="65"/>
      <c r="G48" s="66"/>
      <c r="H48" s="8"/>
      <c r="I48" s="65"/>
      <c r="J48" s="66"/>
      <c r="K48" s="8"/>
      <c r="L48" s="65"/>
      <c r="M48" s="66"/>
      <c r="N48" s="8"/>
      <c r="O48" s="65"/>
      <c r="P48" s="66"/>
      <c r="Q48" s="12"/>
      <c r="R48" s="80">
        <f>SUM(I48-F48)+(O48-L48)</f>
        <v>0</v>
      </c>
      <c r="S48" s="81"/>
      <c r="T48" s="12"/>
      <c r="U48" s="73">
        <f>U18</f>
        <v>0.3666666666666667</v>
      </c>
      <c r="V48" s="74"/>
      <c r="W48" s="7"/>
      <c r="X48" s="75">
        <f>IF(R48&gt;U48,R48-U48,0)</f>
        <v>0</v>
      </c>
      <c r="Y48" s="76"/>
      <c r="Z48" s="7"/>
      <c r="AA48" s="7"/>
      <c r="AB48" s="77">
        <f>IF(D48="SÁBADO",X38+X40+X42+X44+X46+X48,0)</f>
        <v>0</v>
      </c>
      <c r="AC48" s="78"/>
      <c r="AD48" s="7"/>
      <c r="AE48" s="90">
        <f>IF(D48="DOMINGO",X48,0)</f>
        <v>0</v>
      </c>
      <c r="AF48" s="91"/>
      <c r="AH48" s="13">
        <v>0.91666666666666696</v>
      </c>
      <c r="AI48" s="88">
        <f>IF(OR(D48="sábado",D48="domingo",B48=R42,B48=X42,B48=AE42,R48&gt;=U48),0,U48-R48)</f>
        <v>0</v>
      </c>
      <c r="AJ48" s="89"/>
      <c r="AK48" s="29"/>
      <c r="AQ48" s="46"/>
    </row>
    <row r="49" spans="1:43" s="7" customFormat="1" ht="3" customHeight="1" x14ac:dyDescent="0.25">
      <c r="A49" s="28"/>
      <c r="C49"/>
      <c r="D49" s="19"/>
      <c r="E49" s="8"/>
      <c r="H49" s="8"/>
      <c r="K49" s="8"/>
      <c r="N49" s="8"/>
      <c r="R49" s="14"/>
      <c r="S49" s="14"/>
      <c r="U49" s="19"/>
      <c r="V49" s="19"/>
      <c r="X49" s="20"/>
      <c r="Y49" s="20"/>
      <c r="AI49" s="19"/>
      <c r="AJ49" s="19"/>
      <c r="AK49" s="32"/>
      <c r="AQ49" s="46"/>
    </row>
    <row r="50" spans="1:43" s="5" customFormat="1" ht="14.1" customHeight="1" x14ac:dyDescent="0.25">
      <c r="A50" s="28"/>
      <c r="B50" s="21">
        <v>17</v>
      </c>
      <c r="C50"/>
      <c r="D50" s="22" t="str">
        <f t="shared" ref="D50" si="14">Prox_Dia(D48)</f>
        <v>Segunda-Feira</v>
      </c>
      <c r="E50" s="8"/>
      <c r="F50" s="65">
        <v>0.375</v>
      </c>
      <c r="G50" s="66"/>
      <c r="H50" s="8"/>
      <c r="I50" s="65">
        <v>0.41666666666666669</v>
      </c>
      <c r="J50" s="66"/>
      <c r="K50" s="8"/>
      <c r="L50" s="65">
        <v>0.5</v>
      </c>
      <c r="M50" s="66"/>
      <c r="N50" s="8"/>
      <c r="O50" s="65">
        <v>0.77777777777777779</v>
      </c>
      <c r="P50" s="66"/>
      <c r="Q50" s="12"/>
      <c r="R50" s="80">
        <f>SUM(I50-F50)+(O50-L50)</f>
        <v>0.31944444444444448</v>
      </c>
      <c r="S50" s="81"/>
      <c r="T50" s="12"/>
      <c r="U50" s="73">
        <f>U18</f>
        <v>0.3666666666666667</v>
      </c>
      <c r="V50" s="74"/>
      <c r="W50" s="7"/>
      <c r="X50" s="75">
        <f>IF(R50&gt;U50,R50-U50,0)</f>
        <v>0</v>
      </c>
      <c r="Y50" s="76"/>
      <c r="Z50" s="7"/>
      <c r="AA50" s="7"/>
      <c r="AB50" s="77">
        <f>IF(D50="SÁBADO",X40+X42+X44+X46+X48+X50,0)</f>
        <v>0</v>
      </c>
      <c r="AC50" s="78"/>
      <c r="AD50" s="7"/>
      <c r="AE50" s="90">
        <f>IF(D50="DOMINGO",X50,0)</f>
        <v>0</v>
      </c>
      <c r="AF50" s="91"/>
      <c r="AH50" s="13">
        <v>0.91666666666666696</v>
      </c>
      <c r="AI50" s="88">
        <f>IF(OR(D50="sábado",D50="domingo",B50=R44,B50=X44,B50=AE44,R50&gt;=U50),0,U50-R50)</f>
        <v>4.7222222222222221E-2</v>
      </c>
      <c r="AJ50" s="89"/>
      <c r="AK50" s="29"/>
      <c r="AQ50" s="46"/>
    </row>
    <row r="51" spans="1:43" s="7" customFormat="1" ht="3" customHeight="1" x14ac:dyDescent="0.25">
      <c r="A51" s="28"/>
      <c r="C51"/>
      <c r="D51" s="19"/>
      <c r="E51" s="8"/>
      <c r="H51" s="8"/>
      <c r="I51" s="44"/>
      <c r="K51" s="8"/>
      <c r="N51" s="8"/>
      <c r="R51" s="14"/>
      <c r="S51" s="14"/>
      <c r="U51" s="19"/>
      <c r="V51" s="19"/>
      <c r="X51" s="20"/>
      <c r="Y51" s="20"/>
      <c r="AI51" s="19"/>
      <c r="AJ51" s="19"/>
      <c r="AK51" s="32"/>
      <c r="AQ51" s="46"/>
    </row>
    <row r="52" spans="1:43" s="5" customFormat="1" ht="14.1" customHeight="1" x14ac:dyDescent="0.25">
      <c r="A52" s="28"/>
      <c r="B52" s="21">
        <v>18</v>
      </c>
      <c r="C52"/>
      <c r="D52" s="22" t="str">
        <f t="shared" ref="D52" si="15">Prox_Dia(D50)</f>
        <v>Terça-Feira</v>
      </c>
      <c r="E52" s="8"/>
      <c r="F52" s="65"/>
      <c r="G52" s="66"/>
      <c r="H52" s="8"/>
      <c r="I52" s="65"/>
      <c r="J52" s="66"/>
      <c r="K52" s="8"/>
      <c r="L52" s="65"/>
      <c r="M52" s="66"/>
      <c r="N52" s="8"/>
      <c r="O52" s="65"/>
      <c r="P52" s="66"/>
      <c r="Q52" s="12"/>
      <c r="R52" s="80">
        <f>SUM(I52-F52)+(O52-L52)</f>
        <v>0</v>
      </c>
      <c r="S52" s="81"/>
      <c r="T52" s="12"/>
      <c r="U52" s="73">
        <f>U18</f>
        <v>0.3666666666666667</v>
      </c>
      <c r="V52" s="74"/>
      <c r="W52" s="7"/>
      <c r="X52" s="75">
        <f>IF(R52&gt;U52,R52-U52,0)</f>
        <v>0</v>
      </c>
      <c r="Y52" s="76"/>
      <c r="Z52" s="7"/>
      <c r="AA52" s="7"/>
      <c r="AB52" s="77">
        <f>IF(D52="SÁBADO",X42+X44+X46+X48+X50+X52,0)</f>
        <v>0</v>
      </c>
      <c r="AC52" s="78"/>
      <c r="AD52" s="7"/>
      <c r="AE52" s="90">
        <f>IF(D52="DOMINGO",X52,0)</f>
        <v>0</v>
      </c>
      <c r="AF52" s="91"/>
      <c r="AH52" s="13">
        <v>0.91666666666666696</v>
      </c>
      <c r="AI52" s="88">
        <f>IF(OR(D52="sábado",D52="domingo",B52=R46,B52=X46,B52=AE46,R52&gt;=U52),0,U52-R52)</f>
        <v>0.3666666666666667</v>
      </c>
      <c r="AJ52" s="89"/>
      <c r="AK52" s="29"/>
      <c r="AQ52" s="46"/>
    </row>
    <row r="53" spans="1:43" s="7" customFormat="1" ht="3" customHeight="1" x14ac:dyDescent="0.25">
      <c r="A53" s="28"/>
      <c r="C53"/>
      <c r="D53" s="19"/>
      <c r="E53" s="8"/>
      <c r="H53" s="8"/>
      <c r="I53" s="44"/>
      <c r="K53" s="8"/>
      <c r="N53" s="8"/>
      <c r="R53" s="14"/>
      <c r="S53" s="14"/>
      <c r="U53" s="19"/>
      <c r="V53" s="19"/>
      <c r="X53" s="20"/>
      <c r="Y53" s="20"/>
      <c r="AI53" s="19"/>
      <c r="AJ53" s="19"/>
      <c r="AK53" s="32"/>
      <c r="AQ53" s="46"/>
    </row>
    <row r="54" spans="1:43" s="5" customFormat="1" ht="14.1" customHeight="1" x14ac:dyDescent="0.25">
      <c r="A54" s="28"/>
      <c r="B54" s="21">
        <v>19</v>
      </c>
      <c r="C54"/>
      <c r="D54" s="22" t="str">
        <f t="shared" ref="D54" si="16">Prox_Dia(D52)</f>
        <v>Quarta-Feira</v>
      </c>
      <c r="E54" s="8"/>
      <c r="F54" s="65">
        <v>0.6875</v>
      </c>
      <c r="G54" s="66"/>
      <c r="H54" s="8"/>
      <c r="I54" s="65">
        <v>0.72916666666666663</v>
      </c>
      <c r="J54" s="66"/>
      <c r="K54" s="8"/>
      <c r="L54" s="65">
        <v>0.77083333333333337</v>
      </c>
      <c r="M54" s="66"/>
      <c r="N54" s="8"/>
      <c r="O54" s="65">
        <v>1.0138888888888888</v>
      </c>
      <c r="P54" s="66"/>
      <c r="Q54" s="12"/>
      <c r="R54" s="80">
        <f>SUM(I54-F54)+(O54-L54)</f>
        <v>0.2847222222222221</v>
      </c>
      <c r="S54" s="81"/>
      <c r="T54" s="12"/>
      <c r="U54" s="73">
        <f>U18</f>
        <v>0.3666666666666667</v>
      </c>
      <c r="V54" s="74"/>
      <c r="W54" s="7"/>
      <c r="X54" s="75">
        <f>IF(R54&gt;U54,R54-U54,0)</f>
        <v>0</v>
      </c>
      <c r="Y54" s="76"/>
      <c r="Z54" s="7"/>
      <c r="AA54" s="7"/>
      <c r="AB54" s="77">
        <f>IF(D54="SÁBADO",X44+X46+X48+X50+X52+X54,0)</f>
        <v>0</v>
      </c>
      <c r="AC54" s="78"/>
      <c r="AD54" s="7"/>
      <c r="AE54" s="90">
        <f>IF(D54="DOMINGO",X54,0)</f>
        <v>0</v>
      </c>
      <c r="AF54" s="91"/>
      <c r="AH54" s="13">
        <v>0.91666666666666696</v>
      </c>
      <c r="AI54" s="88">
        <f>IF(OR(D54="sábado",D54="domingo",B54=R48,B54=X48,B54=AE48,R54&gt;=U54),0,U54-R54)</f>
        <v>8.1944444444444597E-2</v>
      </c>
      <c r="AJ54" s="89"/>
      <c r="AK54" s="29"/>
      <c r="AQ54" s="46"/>
    </row>
    <row r="55" spans="1:43" s="7" customFormat="1" ht="3" customHeight="1" x14ac:dyDescent="0.25">
      <c r="A55" s="28"/>
      <c r="C55"/>
      <c r="D55" s="19"/>
      <c r="E55" s="8"/>
      <c r="H55" s="8"/>
      <c r="K55" s="8"/>
      <c r="N55" s="8"/>
      <c r="R55" s="14"/>
      <c r="S55" s="14"/>
      <c r="U55" s="19"/>
      <c r="V55" s="19"/>
      <c r="X55" s="20"/>
      <c r="Y55" s="20"/>
      <c r="AI55" s="19"/>
      <c r="AJ55" s="19"/>
      <c r="AK55" s="32"/>
      <c r="AQ55" s="46"/>
    </row>
    <row r="56" spans="1:43" s="5" customFormat="1" ht="14.1" customHeight="1" x14ac:dyDescent="0.25">
      <c r="A56" s="28"/>
      <c r="B56" s="21">
        <v>20</v>
      </c>
      <c r="C56"/>
      <c r="D56" s="22" t="str">
        <f t="shared" ref="D56" si="17">Prox_Dia(D54)</f>
        <v>Quinta-Feira</v>
      </c>
      <c r="E56" s="8"/>
      <c r="F56" s="65">
        <v>0.6875</v>
      </c>
      <c r="G56" s="66"/>
      <c r="H56" s="8"/>
      <c r="I56" s="65">
        <v>0.72916666666666663</v>
      </c>
      <c r="J56" s="66"/>
      <c r="K56" s="8"/>
      <c r="L56" s="65">
        <v>0.77083333333333337</v>
      </c>
      <c r="M56" s="66"/>
      <c r="N56" s="8"/>
      <c r="O56" s="65">
        <v>1.007638888888889</v>
      </c>
      <c r="P56" s="66"/>
      <c r="Q56" s="12"/>
      <c r="R56" s="80">
        <f>SUM(I56-F56)+(O56-L56)</f>
        <v>0.27847222222222223</v>
      </c>
      <c r="S56" s="81"/>
      <c r="T56" s="12"/>
      <c r="U56" s="73">
        <f>U18</f>
        <v>0.3666666666666667</v>
      </c>
      <c r="V56" s="74"/>
      <c r="W56" s="7"/>
      <c r="X56" s="75">
        <f>IF(R56&gt;U56,R56-U56,0)</f>
        <v>0</v>
      </c>
      <c r="Y56" s="76"/>
      <c r="Z56" s="7"/>
      <c r="AA56" s="7"/>
      <c r="AB56" s="77">
        <f>IF(D56="SÁBADO",X46+X48+X50+X52+X54+X56,0)</f>
        <v>0</v>
      </c>
      <c r="AC56" s="78"/>
      <c r="AD56" s="7"/>
      <c r="AE56" s="90">
        <f>IF(D56="DOMINGO",X56,0)</f>
        <v>0</v>
      </c>
      <c r="AF56" s="91"/>
      <c r="AH56" s="13">
        <v>0.91666666666666696</v>
      </c>
      <c r="AI56" s="88">
        <f>IF(OR(D56="sábado",D56="domingo",B56=R50,B56=X50,B56=AE50,R56&gt;=U56),0,U56-R56)</f>
        <v>8.8194444444444464E-2</v>
      </c>
      <c r="AJ56" s="89"/>
      <c r="AK56" s="29"/>
      <c r="AQ56" s="46"/>
    </row>
    <row r="57" spans="1:43" s="7" customFormat="1" ht="3" customHeight="1" x14ac:dyDescent="0.25">
      <c r="A57" s="28"/>
      <c r="C57"/>
      <c r="D57" s="19"/>
      <c r="E57" s="8"/>
      <c r="H57" s="8"/>
      <c r="K57" s="8"/>
      <c r="N57" s="8"/>
      <c r="R57" s="14"/>
      <c r="S57" s="14"/>
      <c r="U57" s="19"/>
      <c r="V57" s="19"/>
      <c r="X57" s="20"/>
      <c r="Y57" s="20"/>
      <c r="AI57" s="19"/>
      <c r="AJ57" s="19"/>
      <c r="AK57" s="32"/>
      <c r="AQ57" s="46"/>
    </row>
    <row r="58" spans="1:43" s="5" customFormat="1" ht="14.1" customHeight="1" x14ac:dyDescent="0.25">
      <c r="A58" s="28"/>
      <c r="B58" s="21">
        <v>21</v>
      </c>
      <c r="C58"/>
      <c r="D58" s="22" t="str">
        <f t="shared" ref="D58" si="18">Prox_Dia(D56)</f>
        <v>Sexta-Feira</v>
      </c>
      <c r="E58" s="8"/>
      <c r="F58" s="65"/>
      <c r="G58" s="66"/>
      <c r="H58" s="8"/>
      <c r="I58" s="65"/>
      <c r="J58" s="66"/>
      <c r="K58" s="8"/>
      <c r="L58" s="65"/>
      <c r="M58" s="66"/>
      <c r="N58" s="8"/>
      <c r="O58" s="65"/>
      <c r="P58" s="66"/>
      <c r="Q58" s="12"/>
      <c r="R58" s="80">
        <f>SUM(I58-F58)+(O58-L58)</f>
        <v>0</v>
      </c>
      <c r="S58" s="81"/>
      <c r="T58" s="12"/>
      <c r="U58" s="73">
        <f>U18</f>
        <v>0.3666666666666667</v>
      </c>
      <c r="V58" s="74"/>
      <c r="W58" s="7"/>
      <c r="X58" s="75">
        <f>IF(R58&gt;U58,R58-U58,0)</f>
        <v>0</v>
      </c>
      <c r="Y58" s="76"/>
      <c r="Z58" s="7"/>
      <c r="AA58" s="7"/>
      <c r="AB58" s="77">
        <f>IF(D58="SÁBADO",X48+X50+X52+X54+X56+X58,0)</f>
        <v>0</v>
      </c>
      <c r="AC58" s="78"/>
      <c r="AD58" s="7"/>
      <c r="AE58" s="90">
        <f>IF(D58="DOMINGO",X58,0)</f>
        <v>0</v>
      </c>
      <c r="AF58" s="91"/>
      <c r="AH58" s="13">
        <v>0.91666666666666696</v>
      </c>
      <c r="AI58" s="88">
        <f>IF(OR(D58="sábado",D58="domingo",B58=R52,B58=X52,B58=AE52,R58&gt;=U58),0,U58-R58)</f>
        <v>0.3666666666666667</v>
      </c>
      <c r="AJ58" s="89"/>
      <c r="AK58" s="29"/>
      <c r="AQ58" s="46"/>
    </row>
    <row r="59" spans="1:43" s="7" customFormat="1" ht="3" customHeight="1" x14ac:dyDescent="0.25">
      <c r="A59" s="28"/>
      <c r="C59"/>
      <c r="D59" s="19"/>
      <c r="E59" s="8"/>
      <c r="H59" s="8"/>
      <c r="K59" s="8"/>
      <c r="N59" s="8"/>
      <c r="R59" s="14"/>
      <c r="S59" s="14"/>
      <c r="U59" s="19"/>
      <c r="V59" s="19"/>
      <c r="X59" s="20"/>
      <c r="Y59" s="20"/>
      <c r="AI59" s="19"/>
      <c r="AJ59" s="19"/>
      <c r="AK59" s="32"/>
      <c r="AQ59" s="46"/>
    </row>
    <row r="60" spans="1:43" s="5" customFormat="1" ht="14.1" customHeight="1" x14ac:dyDescent="0.25">
      <c r="A60" s="28"/>
      <c r="B60" s="21">
        <v>22</v>
      </c>
      <c r="C60"/>
      <c r="D60" s="22" t="str">
        <f t="shared" ref="D60" si="19">Prox_Dia(D58)</f>
        <v>Sábado</v>
      </c>
      <c r="E60" s="8"/>
      <c r="F60" s="65">
        <v>0.375</v>
      </c>
      <c r="G60" s="66"/>
      <c r="H60" s="8"/>
      <c r="I60" s="65">
        <v>0.41666666666666669</v>
      </c>
      <c r="J60" s="66"/>
      <c r="K60" s="8"/>
      <c r="L60" s="65">
        <v>0.5</v>
      </c>
      <c r="M60" s="66"/>
      <c r="N60" s="8"/>
      <c r="O60" s="65">
        <v>0.77777777777777779</v>
      </c>
      <c r="P60" s="66"/>
      <c r="Q60" s="12"/>
      <c r="R60" s="80">
        <f>SUM(I60-F60)+(O60-L60)</f>
        <v>0.31944444444444448</v>
      </c>
      <c r="S60" s="81"/>
      <c r="T60" s="12"/>
      <c r="U60" s="73">
        <f>U18</f>
        <v>0.3666666666666667</v>
      </c>
      <c r="V60" s="74"/>
      <c r="W60" s="7"/>
      <c r="X60" s="75">
        <f>IF(R60&gt;U60,R60-U60,0)</f>
        <v>0</v>
      </c>
      <c r="Y60" s="76"/>
      <c r="Z60" s="7"/>
      <c r="AA60" s="7"/>
      <c r="AB60" s="77">
        <f>IF(D60="SÁBADO",X50+X52+X54+X56+X58+X60,0)</f>
        <v>0</v>
      </c>
      <c r="AC60" s="78"/>
      <c r="AD60" s="7"/>
      <c r="AE60" s="90">
        <f>IF(D60="DOMINGO",X60,0)</f>
        <v>0</v>
      </c>
      <c r="AF60" s="91"/>
      <c r="AH60" s="13">
        <v>0.91666666666666696</v>
      </c>
      <c r="AI60" s="88">
        <f>IF(OR(D60="sábado",D60="domingo",B60=R54,B60=X54,B60=AE54,R60&gt;=U60),0,U60-R60)</f>
        <v>0</v>
      </c>
      <c r="AJ60" s="89"/>
      <c r="AK60" s="29"/>
      <c r="AQ60" s="46"/>
    </row>
    <row r="61" spans="1:43" s="7" customFormat="1" ht="3" customHeight="1" x14ac:dyDescent="0.25">
      <c r="A61" s="28"/>
      <c r="C61"/>
      <c r="D61" s="19"/>
      <c r="E61" s="8"/>
      <c r="H61" s="8"/>
      <c r="K61" s="8"/>
      <c r="N61" s="8"/>
      <c r="R61" s="14"/>
      <c r="S61" s="14"/>
      <c r="U61" s="19"/>
      <c r="V61" s="19"/>
      <c r="X61" s="20"/>
      <c r="Y61" s="20"/>
      <c r="AI61" s="19"/>
      <c r="AJ61" s="19"/>
      <c r="AK61" s="32"/>
      <c r="AQ61" s="46"/>
    </row>
    <row r="62" spans="1:43" s="5" customFormat="1" ht="14.1" customHeight="1" x14ac:dyDescent="0.25">
      <c r="A62" s="28"/>
      <c r="B62" s="21">
        <v>23</v>
      </c>
      <c r="C62"/>
      <c r="D62" s="22" t="str">
        <f t="shared" ref="D62" si="20">Prox_Dia(D60)</f>
        <v>Domingo</v>
      </c>
      <c r="E62" s="8"/>
      <c r="F62" s="65"/>
      <c r="G62" s="66"/>
      <c r="H62" s="8"/>
      <c r="I62" s="65"/>
      <c r="J62" s="66"/>
      <c r="K62" s="8"/>
      <c r="L62" s="65"/>
      <c r="M62" s="66"/>
      <c r="N62" s="8"/>
      <c r="O62" s="65"/>
      <c r="P62" s="66"/>
      <c r="Q62" s="12"/>
      <c r="R62" s="80">
        <f>SUM(I62-F62)+(O62-L62)</f>
        <v>0</v>
      </c>
      <c r="S62" s="81"/>
      <c r="T62" s="12"/>
      <c r="U62" s="73">
        <f>U18</f>
        <v>0.3666666666666667</v>
      </c>
      <c r="V62" s="74"/>
      <c r="W62" s="7"/>
      <c r="X62" s="75">
        <f>IF(R62&gt;U62,R62-U62,0)</f>
        <v>0</v>
      </c>
      <c r="Y62" s="76"/>
      <c r="Z62" s="7"/>
      <c r="AA62" s="7"/>
      <c r="AB62" s="77">
        <f>IF(D62="SÁBADO",X52+X54+X56+X58+X60+X62,0)</f>
        <v>0</v>
      </c>
      <c r="AC62" s="78"/>
      <c r="AD62" s="7"/>
      <c r="AE62" s="90">
        <f>IF(D62="DOMINGO",X62,0)</f>
        <v>0</v>
      </c>
      <c r="AF62" s="91"/>
      <c r="AH62" s="13">
        <v>0.91666666666666696</v>
      </c>
      <c r="AI62" s="88">
        <f>IF(OR(D62="sábado",D62="domingo",B62=R56,B62=X56,B62=AE56,R62&gt;=U62),0,U62-R62)</f>
        <v>0</v>
      </c>
      <c r="AJ62" s="89"/>
      <c r="AK62" s="29"/>
      <c r="AQ62" s="46"/>
    </row>
    <row r="63" spans="1:43" s="7" customFormat="1" ht="3" customHeight="1" x14ac:dyDescent="0.25">
      <c r="A63" s="28"/>
      <c r="C63"/>
      <c r="D63" s="19"/>
      <c r="E63" s="8"/>
      <c r="H63" s="8"/>
      <c r="K63" s="8"/>
      <c r="N63" s="8"/>
      <c r="R63" s="14"/>
      <c r="S63" s="14"/>
      <c r="U63" s="19"/>
      <c r="V63" s="19"/>
      <c r="X63" s="20"/>
      <c r="Y63" s="20"/>
      <c r="AI63" s="19"/>
      <c r="AJ63" s="19"/>
      <c r="AK63" s="32"/>
      <c r="AQ63" s="46"/>
    </row>
    <row r="64" spans="1:43" s="5" customFormat="1" ht="14.1" customHeight="1" x14ac:dyDescent="0.25">
      <c r="A64" s="28"/>
      <c r="B64" s="21">
        <v>24</v>
      </c>
      <c r="C64"/>
      <c r="D64" s="22" t="str">
        <f t="shared" ref="D64" si="21">Prox_Dia(D62)</f>
        <v>Segunda-Feira</v>
      </c>
      <c r="E64" s="8"/>
      <c r="F64" s="65"/>
      <c r="G64" s="66"/>
      <c r="H64" s="8"/>
      <c r="I64" s="65"/>
      <c r="J64" s="66"/>
      <c r="K64" s="8"/>
      <c r="L64" s="65"/>
      <c r="M64" s="66"/>
      <c r="N64" s="8"/>
      <c r="O64" s="65"/>
      <c r="P64" s="66"/>
      <c r="Q64" s="12"/>
      <c r="R64" s="80">
        <f>SUM(I64-F64)+(O64-L64)</f>
        <v>0</v>
      </c>
      <c r="S64" s="81"/>
      <c r="T64" s="12"/>
      <c r="U64" s="73">
        <f>U18</f>
        <v>0.3666666666666667</v>
      </c>
      <c r="V64" s="74"/>
      <c r="W64" s="7"/>
      <c r="X64" s="75">
        <f>IF(R64&gt;U64,R64-U64,0)</f>
        <v>0</v>
      </c>
      <c r="Y64" s="76"/>
      <c r="Z64" s="7"/>
      <c r="AA64" s="7"/>
      <c r="AB64" s="77">
        <f>IF(D64="SÁBADO",X54+X56+X58+X60+X62+X64,0)</f>
        <v>0</v>
      </c>
      <c r="AC64" s="78"/>
      <c r="AD64" s="7"/>
      <c r="AE64" s="90">
        <f>IF(D64="DOMINGO",X64,0)</f>
        <v>0</v>
      </c>
      <c r="AF64" s="91"/>
      <c r="AH64" s="13">
        <v>0.91666666666666696</v>
      </c>
      <c r="AI64" s="88">
        <f>IF(OR(D64="sábado",D64="domingo",B64=R58,B64=X58,B64=AE58,R64&gt;=U64),0,U64-R64)</f>
        <v>0.3666666666666667</v>
      </c>
      <c r="AJ64" s="89"/>
      <c r="AK64" s="29"/>
      <c r="AQ64" s="46"/>
    </row>
    <row r="65" spans="1:53" s="7" customFormat="1" ht="3" customHeight="1" x14ac:dyDescent="0.25">
      <c r="A65" s="28"/>
      <c r="C65"/>
      <c r="D65" s="19"/>
      <c r="E65" s="8"/>
      <c r="H65" s="8"/>
      <c r="K65" s="8"/>
      <c r="N65" s="8"/>
      <c r="R65" s="14"/>
      <c r="S65" s="14"/>
      <c r="U65" s="19"/>
      <c r="V65" s="19"/>
      <c r="X65" s="20"/>
      <c r="Y65" s="20"/>
      <c r="AI65" s="19"/>
      <c r="AJ65" s="19"/>
      <c r="AK65" s="32"/>
      <c r="AQ65" s="46"/>
    </row>
    <row r="66" spans="1:53" s="5" customFormat="1" ht="14.1" customHeight="1" x14ac:dyDescent="0.25">
      <c r="A66" s="28"/>
      <c r="B66" s="21">
        <v>25</v>
      </c>
      <c r="C66"/>
      <c r="D66" s="22" t="str">
        <f t="shared" ref="D66" si="22">Prox_Dia(D64)</f>
        <v>Terça-Feira</v>
      </c>
      <c r="E66" s="8"/>
      <c r="F66" s="65">
        <v>0.375</v>
      </c>
      <c r="G66" s="66"/>
      <c r="H66" s="8"/>
      <c r="I66" s="65">
        <v>0.41666666666666669</v>
      </c>
      <c r="J66" s="66"/>
      <c r="K66" s="8"/>
      <c r="L66" s="65">
        <v>0.5</v>
      </c>
      <c r="M66" s="66"/>
      <c r="N66" s="8"/>
      <c r="O66" s="65">
        <v>0.77777777777777779</v>
      </c>
      <c r="P66" s="66"/>
      <c r="Q66" s="12"/>
      <c r="R66" s="80">
        <f>SUM(I66-F66)+(O66-L66)</f>
        <v>0.31944444444444448</v>
      </c>
      <c r="S66" s="81"/>
      <c r="T66" s="12"/>
      <c r="U66" s="73">
        <f>U18</f>
        <v>0.3666666666666667</v>
      </c>
      <c r="V66" s="74"/>
      <c r="W66" s="7"/>
      <c r="X66" s="75">
        <f>IF(R66&gt;U66,R66-U66,0)</f>
        <v>0</v>
      </c>
      <c r="Y66" s="76"/>
      <c r="Z66" s="7"/>
      <c r="AA66" s="7"/>
      <c r="AB66" s="77">
        <f>IF(D66="SÁBADO",X56+X58+X60+X62+X64+X66,0)</f>
        <v>0</v>
      </c>
      <c r="AC66" s="78"/>
      <c r="AD66" s="7"/>
      <c r="AE66" s="90">
        <f>IF(D66="DOMINGO",X66,0)</f>
        <v>0</v>
      </c>
      <c r="AF66" s="91"/>
      <c r="AH66" s="13">
        <v>0.91666666666666696</v>
      </c>
      <c r="AI66" s="88">
        <f>IF(OR(D66="sábado",D66="domingo",B66=R60,B66=X60,B66=AE60,R66&gt;=U66),0,U66-R66)</f>
        <v>4.7222222222222221E-2</v>
      </c>
      <c r="AJ66" s="89"/>
      <c r="AK66" s="29"/>
      <c r="AQ66" s="46"/>
    </row>
    <row r="67" spans="1:53" s="7" customFormat="1" ht="3" customHeight="1" x14ac:dyDescent="0.25">
      <c r="A67" s="28"/>
      <c r="C67"/>
      <c r="D67" s="19"/>
      <c r="E67" s="8"/>
      <c r="H67" s="8"/>
      <c r="K67" s="8"/>
      <c r="N67" s="8"/>
      <c r="R67" s="14"/>
      <c r="S67" s="14"/>
      <c r="U67" s="19"/>
      <c r="V67" s="19"/>
      <c r="X67" s="20"/>
      <c r="Y67" s="20"/>
      <c r="AI67" s="19"/>
      <c r="AJ67" s="19"/>
      <c r="AK67" s="32"/>
      <c r="AQ67" s="46"/>
    </row>
    <row r="68" spans="1:53" s="5" customFormat="1" ht="14.1" customHeight="1" x14ac:dyDescent="0.25">
      <c r="A68" s="28"/>
      <c r="B68" s="21">
        <v>26</v>
      </c>
      <c r="C68"/>
      <c r="D68" s="22" t="str">
        <f t="shared" ref="D68" si="23">Prox_Dia(D66)</f>
        <v>Quarta-Feira</v>
      </c>
      <c r="E68" s="8"/>
      <c r="F68" s="65">
        <v>0.375</v>
      </c>
      <c r="G68" s="66"/>
      <c r="H68" s="8"/>
      <c r="I68" s="65">
        <v>0.41666666666666669</v>
      </c>
      <c r="J68" s="66"/>
      <c r="K68" s="8"/>
      <c r="L68" s="65">
        <v>0.5</v>
      </c>
      <c r="M68" s="66"/>
      <c r="N68" s="8"/>
      <c r="O68" s="65">
        <v>0.77777777777777779</v>
      </c>
      <c r="P68" s="66"/>
      <c r="Q68" s="12"/>
      <c r="R68" s="80">
        <f>SUM(I68-F68)+(O68-L68)</f>
        <v>0.31944444444444448</v>
      </c>
      <c r="S68" s="81"/>
      <c r="T68" s="12"/>
      <c r="U68" s="73">
        <f>U18</f>
        <v>0.3666666666666667</v>
      </c>
      <c r="V68" s="74"/>
      <c r="W68" s="7"/>
      <c r="X68" s="75">
        <f>IF(R68&gt;U68,R68-U68,0)</f>
        <v>0</v>
      </c>
      <c r="Y68" s="76"/>
      <c r="Z68" s="7"/>
      <c r="AA68" s="7"/>
      <c r="AB68" s="77">
        <f>IF(D68="SÁBADO",X58+X60+X62+X64+X66+X68,0)</f>
        <v>0</v>
      </c>
      <c r="AC68" s="78"/>
      <c r="AD68" s="7"/>
      <c r="AE68" s="90">
        <f>IF(D68="DOMINGO",X68,0)</f>
        <v>0</v>
      </c>
      <c r="AF68" s="91"/>
      <c r="AH68" s="13">
        <v>0.91666666666666696</v>
      </c>
      <c r="AI68" s="88">
        <f>IF(OR(D68="sábado",D68="domingo",B68=R62,B68=X62,B68=AE62,R68&gt;=U68),0,U68-R68)</f>
        <v>4.7222222222222221E-2</v>
      </c>
      <c r="AJ68" s="89"/>
      <c r="AK68" s="29"/>
      <c r="AQ68" s="46"/>
    </row>
    <row r="69" spans="1:53" s="7" customFormat="1" ht="3" customHeight="1" x14ac:dyDescent="0.25">
      <c r="A69" s="28"/>
      <c r="C69"/>
      <c r="D69" s="19"/>
      <c r="E69" s="8"/>
      <c r="H69" s="8"/>
      <c r="I69" s="44"/>
      <c r="K69" s="8"/>
      <c r="N69" s="8"/>
      <c r="R69" s="14"/>
      <c r="S69" s="14"/>
      <c r="U69" s="19"/>
      <c r="V69" s="19"/>
      <c r="X69" s="20"/>
      <c r="Y69" s="20"/>
      <c r="AI69" s="19"/>
      <c r="AJ69" s="19"/>
      <c r="AK69" s="32"/>
      <c r="AQ69" s="46"/>
    </row>
    <row r="70" spans="1:53" s="5" customFormat="1" ht="14.1" customHeight="1" x14ac:dyDescent="0.25">
      <c r="A70" s="28"/>
      <c r="B70" s="21">
        <v>27</v>
      </c>
      <c r="C70"/>
      <c r="D70" s="22" t="str">
        <f t="shared" ref="D70" si="24">Prox_Dia(D68)</f>
        <v>Quinta-Feira</v>
      </c>
      <c r="E70" s="8"/>
      <c r="F70" s="65">
        <v>0.375</v>
      </c>
      <c r="G70" s="66"/>
      <c r="H70" s="8"/>
      <c r="I70" s="65">
        <v>0.41666666666666669</v>
      </c>
      <c r="J70" s="66"/>
      <c r="K70" s="8"/>
      <c r="L70" s="65">
        <v>0.5</v>
      </c>
      <c r="M70" s="66"/>
      <c r="N70" s="8"/>
      <c r="O70" s="65">
        <v>0.77777777777777779</v>
      </c>
      <c r="P70" s="66"/>
      <c r="Q70" s="12"/>
      <c r="R70" s="80">
        <f>SUM(I70-F70)+(O70-L70)</f>
        <v>0.31944444444444448</v>
      </c>
      <c r="S70" s="81"/>
      <c r="T70" s="12"/>
      <c r="U70" s="73">
        <f>U18</f>
        <v>0.3666666666666667</v>
      </c>
      <c r="V70" s="74"/>
      <c r="W70" s="7"/>
      <c r="X70" s="75">
        <f>IF(R70&gt;U70,R70-U70,0)</f>
        <v>0</v>
      </c>
      <c r="Y70" s="76"/>
      <c r="Z70" s="7"/>
      <c r="AA70" s="7"/>
      <c r="AB70" s="77">
        <f>IF(D70="SÁBADO",X60+X62+X64+X66+X68+X70,0)</f>
        <v>0</v>
      </c>
      <c r="AC70" s="78"/>
      <c r="AD70" s="7"/>
      <c r="AE70" s="90">
        <f>IF(D70="DOMINGO",X70,0)</f>
        <v>0</v>
      </c>
      <c r="AF70" s="91"/>
      <c r="AH70" s="13">
        <v>0.91666666666666696</v>
      </c>
      <c r="AI70" s="88">
        <f>IF(OR(D70="sábado",D70="domingo",B70=R64,B70=X64,B70=AE64,R70&gt;=U70),0,U70-R70)</f>
        <v>4.7222222222222221E-2</v>
      </c>
      <c r="AJ70" s="89"/>
      <c r="AK70" s="29"/>
      <c r="AQ70" s="46"/>
    </row>
    <row r="71" spans="1:53" s="7" customFormat="1" ht="3" customHeight="1" x14ac:dyDescent="0.25">
      <c r="A71" s="28"/>
      <c r="C71"/>
      <c r="D71" s="19"/>
      <c r="E71" s="8"/>
      <c r="H71" s="8"/>
      <c r="K71" s="8"/>
      <c r="N71" s="8"/>
      <c r="R71" s="14"/>
      <c r="S71" s="14"/>
      <c r="U71" s="19"/>
      <c r="V71" s="19"/>
      <c r="X71" s="20"/>
      <c r="Y71" s="20"/>
      <c r="AI71" s="19"/>
      <c r="AJ71" s="19"/>
      <c r="AK71" s="32"/>
      <c r="AQ71" s="46"/>
    </row>
    <row r="72" spans="1:53" s="5" customFormat="1" ht="14.1" customHeight="1" x14ac:dyDescent="0.25">
      <c r="A72" s="28"/>
      <c r="B72" s="21">
        <v>28</v>
      </c>
      <c r="C72"/>
      <c r="D72" s="22" t="str">
        <f t="shared" ref="D72" si="25">Prox_Dia(D70)</f>
        <v>Sexta-Feira</v>
      </c>
      <c r="E72" s="8"/>
      <c r="F72" s="65">
        <v>0.375</v>
      </c>
      <c r="G72" s="66"/>
      <c r="H72" s="8"/>
      <c r="I72" s="65">
        <v>0.41666666666666669</v>
      </c>
      <c r="J72" s="66"/>
      <c r="K72" s="8"/>
      <c r="L72" s="65">
        <v>0.5</v>
      </c>
      <c r="M72" s="66"/>
      <c r="N72" s="8"/>
      <c r="O72" s="65">
        <v>0.77777777777777779</v>
      </c>
      <c r="P72" s="66"/>
      <c r="Q72" s="12"/>
      <c r="R72" s="80">
        <f>SUM(I72-F72)+(O72-L72)</f>
        <v>0.31944444444444448</v>
      </c>
      <c r="S72" s="81"/>
      <c r="T72" s="12"/>
      <c r="U72" s="73">
        <f>U18</f>
        <v>0.3666666666666667</v>
      </c>
      <c r="V72" s="74"/>
      <c r="W72" s="7"/>
      <c r="X72" s="75">
        <f>IF(R72&gt;U72,R72-U72,0)</f>
        <v>0</v>
      </c>
      <c r="Y72" s="76"/>
      <c r="Z72" s="7"/>
      <c r="AA72" s="7"/>
      <c r="AB72" s="77">
        <f>IF(D72="SÁBADO",X62+X64+X66+X68+X70+X72,0)</f>
        <v>0</v>
      </c>
      <c r="AC72" s="78"/>
      <c r="AD72" s="7"/>
      <c r="AE72" s="90">
        <f>IF(D72="DOMINGO",X72,0)</f>
        <v>0</v>
      </c>
      <c r="AF72" s="91"/>
      <c r="AH72" s="13">
        <v>0.91666666666666696</v>
      </c>
      <c r="AI72" s="88">
        <f>IF(OR(D72="sábado",D72="domingo",B72=R66,B72=X66,B72=AE66,R72&gt;=U72),0,U72-R72)</f>
        <v>4.7222222222222221E-2</v>
      </c>
      <c r="AJ72" s="89"/>
      <c r="AK72" s="29"/>
      <c r="AQ72" s="46"/>
      <c r="AT72" s="7"/>
      <c r="AU72" s="7"/>
      <c r="AV72" s="7"/>
      <c r="AW72" s="7"/>
      <c r="AX72" s="7"/>
      <c r="AY72" s="7"/>
      <c r="AZ72" s="7"/>
      <c r="BA72" s="7"/>
    </row>
    <row r="73" spans="1:53" s="7" customFormat="1" ht="3" customHeight="1" x14ac:dyDescent="0.25">
      <c r="A73" s="28"/>
      <c r="C73"/>
      <c r="D73" s="19"/>
      <c r="E73" s="8"/>
      <c r="H73" s="8"/>
      <c r="K73" s="8"/>
      <c r="N73" s="8"/>
      <c r="R73" s="14"/>
      <c r="S73" s="14"/>
      <c r="U73" s="19"/>
      <c r="V73" s="19"/>
      <c r="X73" s="20"/>
      <c r="Y73" s="20"/>
      <c r="AI73" s="19"/>
      <c r="AJ73" s="19"/>
      <c r="AK73" s="32"/>
      <c r="AQ73" s="46"/>
    </row>
    <row r="74" spans="1:53" s="5" customFormat="1" ht="14.1" customHeight="1" x14ac:dyDescent="0.25">
      <c r="A74" s="28"/>
      <c r="B74" s="21" t="str">
        <f>IF(B4=2,IF(OR(D4=2020,D4=2024,D4=2028,D4=2032,D4=2036,D4=2040,D4=2044,D4=2048,D4=2052),"29",""),"29")</f>
        <v>29</v>
      </c>
      <c r="C74"/>
      <c r="D74" s="22" t="str">
        <f t="shared" ref="D74" si="26">Prox_Dia(D72)</f>
        <v>Sábado</v>
      </c>
      <c r="E74" s="8"/>
      <c r="F74" s="65">
        <v>0.375</v>
      </c>
      <c r="G74" s="66"/>
      <c r="H74" s="8"/>
      <c r="I74" s="65">
        <v>0.41666666666666669</v>
      </c>
      <c r="J74" s="66"/>
      <c r="K74" s="8"/>
      <c r="L74" s="65">
        <v>0.5</v>
      </c>
      <c r="M74" s="66"/>
      <c r="N74" s="8"/>
      <c r="O74" s="65">
        <v>0.77777777777777779</v>
      </c>
      <c r="P74" s="66"/>
      <c r="Q74" s="12"/>
      <c r="R74" s="80">
        <f>SUM(I74-F74)+(O74-L74)</f>
        <v>0.31944444444444448</v>
      </c>
      <c r="S74" s="81"/>
      <c r="T74" s="12"/>
      <c r="U74" s="73">
        <f>U18</f>
        <v>0.3666666666666667</v>
      </c>
      <c r="V74" s="74"/>
      <c r="W74" s="7"/>
      <c r="X74" s="75">
        <f>IF(R74&gt;U74,R74-U74,0)</f>
        <v>0</v>
      </c>
      <c r="Y74" s="76"/>
      <c r="Z74" s="7"/>
      <c r="AA74" s="7"/>
      <c r="AB74" s="77">
        <f>IF(D74="SÁBADO",X64+X66+X68+X70+X72+X74,0)</f>
        <v>0</v>
      </c>
      <c r="AC74" s="78"/>
      <c r="AD74" s="7"/>
      <c r="AE74" s="90">
        <f>IF(D74="DOMINGO",X74,0)</f>
        <v>0</v>
      </c>
      <c r="AF74" s="91"/>
      <c r="AH74" s="13">
        <v>0.91666666666666696</v>
      </c>
      <c r="AI74" s="88">
        <f>IF(OR(D74="sábado",D74="domingo",B74=R68,B74=X68,B74=AE68,R74&gt;=U74),0,U74-R74)</f>
        <v>0</v>
      </c>
      <c r="AJ74" s="89"/>
      <c r="AK74" s="29"/>
      <c r="AQ74" s="46"/>
      <c r="AT74" s="7"/>
      <c r="AU74" s="7"/>
      <c r="AV74" s="7"/>
      <c r="AW74" s="7"/>
      <c r="AX74" s="7"/>
      <c r="AY74" s="7"/>
      <c r="AZ74" s="7"/>
      <c r="BA74" s="7"/>
    </row>
    <row r="75" spans="1:53" s="7" customFormat="1" ht="3" customHeight="1" x14ac:dyDescent="0.25">
      <c r="A75" s="28"/>
      <c r="C75"/>
      <c r="D75" s="19"/>
      <c r="E75" s="8"/>
      <c r="H75" s="8"/>
      <c r="K75" s="8"/>
      <c r="N75" s="8"/>
      <c r="R75" s="14"/>
      <c r="S75" s="14"/>
      <c r="U75" s="19"/>
      <c r="V75" s="19"/>
      <c r="X75" s="20"/>
      <c r="Y75" s="20"/>
      <c r="AI75" s="19"/>
      <c r="AJ75" s="19"/>
      <c r="AK75" s="32"/>
      <c r="AQ75" s="46"/>
    </row>
    <row r="76" spans="1:53" s="5" customFormat="1" ht="14.1" customHeight="1" x14ac:dyDescent="0.25">
      <c r="A76" s="28"/>
      <c r="B76" s="21">
        <f>IF(B4=2,"",30)</f>
        <v>30</v>
      </c>
      <c r="C76"/>
      <c r="D76" s="22" t="str">
        <f t="shared" ref="D76" si="27">Prox_Dia(D74)</f>
        <v>Domingo</v>
      </c>
      <c r="E76" s="8"/>
      <c r="F76" s="65">
        <v>0.375</v>
      </c>
      <c r="G76" s="66"/>
      <c r="H76" s="8"/>
      <c r="I76" s="65">
        <v>0.41666666666666669</v>
      </c>
      <c r="J76" s="66"/>
      <c r="K76" s="8"/>
      <c r="L76" s="65">
        <v>0.5</v>
      </c>
      <c r="M76" s="66"/>
      <c r="N76" s="8"/>
      <c r="O76" s="65">
        <v>0.77777777777777779</v>
      </c>
      <c r="P76" s="66"/>
      <c r="Q76" s="12"/>
      <c r="R76" s="80">
        <f>SUM(I76-F76)+(O76-L76)</f>
        <v>0.31944444444444448</v>
      </c>
      <c r="S76" s="81"/>
      <c r="T76" s="12"/>
      <c r="U76" s="73">
        <f>U18</f>
        <v>0.3666666666666667</v>
      </c>
      <c r="V76" s="74"/>
      <c r="W76" s="7"/>
      <c r="X76" s="75">
        <f>IF(R76&gt;U76,R76-U76,0)</f>
        <v>0</v>
      </c>
      <c r="Y76" s="76"/>
      <c r="Z76" s="7"/>
      <c r="AA76" s="7"/>
      <c r="AB76" s="77">
        <f>IF(D76="SÁBADO",X66+X68+X70+X72+X74+X76,0)</f>
        <v>0</v>
      </c>
      <c r="AC76" s="78"/>
      <c r="AD76" s="7"/>
      <c r="AE76" s="90">
        <f>IF(D76="DOMINGO",X76,0)</f>
        <v>0</v>
      </c>
      <c r="AF76" s="91"/>
      <c r="AH76" s="13">
        <v>0.91666666666666696</v>
      </c>
      <c r="AI76" s="88">
        <f>IF(OR(D76="sábado",D76="domingo",B76=R70,B76=X70,B76=AE70,R76&gt;=U76),0,U76-R76)</f>
        <v>0</v>
      </c>
      <c r="AJ76" s="89"/>
      <c r="AK76" s="29"/>
      <c r="AQ76" s="46"/>
      <c r="AT76" s="7"/>
      <c r="AU76" s="7"/>
      <c r="AV76" s="7"/>
      <c r="AW76" s="7"/>
      <c r="AX76" s="7"/>
      <c r="AY76" s="7"/>
      <c r="AZ76" s="7"/>
      <c r="BA76" s="7"/>
    </row>
    <row r="77" spans="1:53" s="7" customFormat="1" ht="3" customHeight="1" x14ac:dyDescent="0.25">
      <c r="A77" s="28"/>
      <c r="C77"/>
      <c r="D77" s="19"/>
      <c r="E77" s="8"/>
      <c r="H77" s="8"/>
      <c r="K77" s="8"/>
      <c r="N77" s="8"/>
      <c r="R77" s="14"/>
      <c r="S77" s="14"/>
      <c r="U77" s="19"/>
      <c r="V77" s="19"/>
      <c r="X77" s="20"/>
      <c r="Y77" s="20"/>
      <c r="AI77" s="19"/>
      <c r="AJ77" s="19"/>
      <c r="AK77" s="32"/>
      <c r="AQ77" s="46"/>
    </row>
    <row r="78" spans="1:53" s="5" customFormat="1" ht="14.1" customHeight="1" x14ac:dyDescent="0.25">
      <c r="A78" s="28"/>
      <c r="B78" s="21">
        <f>IF(OR(B4=1,B4=3,B4=5,B4=7,B4=8,B4=10,B4=12),31,"")</f>
        <v>31</v>
      </c>
      <c r="C78"/>
      <c r="D78" s="22" t="str">
        <f t="shared" ref="D78" si="28">Prox_Dia(D76)</f>
        <v>Segunda-Feira</v>
      </c>
      <c r="E78" s="8"/>
      <c r="F78" s="65"/>
      <c r="G78" s="66"/>
      <c r="H78" s="8"/>
      <c r="I78" s="65"/>
      <c r="J78" s="66"/>
      <c r="K78" s="8"/>
      <c r="L78" s="65"/>
      <c r="M78" s="66"/>
      <c r="N78" s="8"/>
      <c r="O78" s="65"/>
      <c r="P78" s="66"/>
      <c r="Q78" s="12"/>
      <c r="R78" s="80">
        <f>SUM(I78-F78)+(O78-L78)</f>
        <v>0</v>
      </c>
      <c r="S78" s="81"/>
      <c r="T78" s="12"/>
      <c r="U78" s="73">
        <f>U18</f>
        <v>0.3666666666666667</v>
      </c>
      <c r="V78" s="74"/>
      <c r="W78" s="7"/>
      <c r="X78" s="75">
        <f>IF(R78&gt;U78,R78-U78,0)</f>
        <v>0</v>
      </c>
      <c r="Y78" s="76"/>
      <c r="Z78" s="7"/>
      <c r="AA78" s="7"/>
      <c r="AB78" s="84">
        <f>IF(D78="Sábado",SUM(X68:Y78),IF(D78="Domingo",0,IF(D78="Segunda-Feira",X78,IF(D78="Terça-Feira",X78+X76,IF(D78="Quarta-Feira",SUM(X74:Y78),IF(D78="Quinta-Feira",SUM(X72:Y78),IF(D78="Sexta-Feira",SUM(X70:Y78),"")))))))</f>
        <v>0</v>
      </c>
      <c r="AC78" s="85"/>
      <c r="AD78" s="7"/>
      <c r="AE78" s="86">
        <f>IF(D78="DOMINGO",X78,0)</f>
        <v>0</v>
      </c>
      <c r="AF78" s="87"/>
      <c r="AH78" s="13">
        <v>0.91666666666666696</v>
      </c>
      <c r="AI78" s="88">
        <f>IF(OR(D78="sábado",D78="domingo",B78=R72,B78=X72,B78=AE72,R78&gt;=U78),0,U78-R78)</f>
        <v>0.3666666666666667</v>
      </c>
      <c r="AJ78" s="89"/>
      <c r="AK78" s="29"/>
      <c r="AQ78" s="46"/>
      <c r="AT78" s="7"/>
      <c r="AU78" s="7"/>
      <c r="AV78" s="7"/>
      <c r="AW78" s="7"/>
      <c r="AX78" s="7"/>
      <c r="AY78" s="7"/>
      <c r="AZ78" s="7"/>
      <c r="BA78" s="7"/>
    </row>
    <row r="79" spans="1:53" s="8" customFormat="1" ht="15" customHeight="1" thickBot="1" x14ac:dyDescent="0.3">
      <c r="A79" s="35"/>
      <c r="B79" s="92" t="s">
        <v>20</v>
      </c>
      <c r="C79" s="92"/>
      <c r="D79" s="92"/>
      <c r="E79" s="92"/>
      <c r="F79" s="92"/>
      <c r="G79" s="92"/>
      <c r="H79" s="92"/>
      <c r="I79" s="92"/>
      <c r="J79" s="92"/>
      <c r="K79" s="92"/>
      <c r="L79" s="92"/>
      <c r="M79" s="92"/>
      <c r="N79" s="92"/>
      <c r="O79" s="92"/>
      <c r="P79" s="92"/>
      <c r="Q79" s="53"/>
      <c r="R79" s="82">
        <f>SUM(R18:S78)</f>
        <v>5.0840277777777789</v>
      </c>
      <c r="S79" s="83"/>
      <c r="T79" s="53"/>
      <c r="U79" s="93"/>
      <c r="V79" s="93"/>
      <c r="W79" s="53"/>
      <c r="X79" s="94"/>
      <c r="Y79" s="94"/>
      <c r="AB79" s="82">
        <f>SUM(AB18:AC78)</f>
        <v>7.0833333333333248E-2</v>
      </c>
      <c r="AC79" s="83"/>
      <c r="AE79" s="82">
        <f>SUM(AE17:AF78)</f>
        <v>0</v>
      </c>
      <c r="AF79" s="83"/>
      <c r="AH79" s="15"/>
      <c r="AI79" s="82">
        <f>SUM(AI17:AJ78)</f>
        <v>3.7701388888888894</v>
      </c>
      <c r="AJ79" s="83"/>
      <c r="AK79" s="36"/>
      <c r="AQ79" s="49"/>
    </row>
    <row r="80" spans="1:53" ht="6.95" customHeight="1" x14ac:dyDescent="0.25">
      <c r="A80" s="39"/>
      <c r="B80" s="54"/>
      <c r="C80" s="54"/>
      <c r="D80" s="54"/>
      <c r="E80" s="54"/>
      <c r="F80" s="54"/>
      <c r="G80" s="54"/>
      <c r="H80" s="54"/>
      <c r="I80" s="54"/>
      <c r="J80" s="54"/>
      <c r="K80" s="54"/>
      <c r="L80" s="54"/>
      <c r="M80" s="54"/>
      <c r="N80" s="54"/>
      <c r="O80" s="54"/>
      <c r="P80" s="54"/>
      <c r="Q80" s="54"/>
      <c r="R80" s="54"/>
      <c r="S80" s="54"/>
      <c r="T80" s="54"/>
      <c r="U80" s="54"/>
      <c r="V80" s="54"/>
      <c r="W80" s="54"/>
      <c r="X80" s="54"/>
      <c r="Y80" s="54"/>
      <c r="Z80" s="40"/>
      <c r="AA80" s="40"/>
      <c r="AB80" s="40"/>
      <c r="AC80" s="40"/>
      <c r="AD80" s="40"/>
      <c r="AE80" s="40"/>
      <c r="AF80" s="40"/>
      <c r="AG80" s="40"/>
      <c r="AH80" s="40"/>
      <c r="AI80" s="40"/>
      <c r="AJ80" s="40"/>
      <c r="AK80" s="41"/>
    </row>
    <row r="81" spans="2:37" ht="19.5" hidden="1" customHeight="1" x14ac:dyDescent="0.25">
      <c r="B81" s="3"/>
      <c r="C81" s="3"/>
      <c r="D81" s="8">
        <v>2018</v>
      </c>
      <c r="F81" s="4">
        <v>1</v>
      </c>
    </row>
    <row r="82" spans="2:37" ht="19.5" hidden="1" customHeight="1" x14ac:dyDescent="0.25">
      <c r="B82" s="3"/>
      <c r="C82" s="3"/>
      <c r="D82" s="8">
        <v>2019</v>
      </c>
      <c r="F82" s="4">
        <v>2</v>
      </c>
    </row>
    <row r="83" spans="2:37" ht="19.5" hidden="1" customHeight="1" x14ac:dyDescent="0.25">
      <c r="B83" s="3"/>
      <c r="C83" s="3"/>
      <c r="D83" s="8">
        <v>2020</v>
      </c>
      <c r="F83" s="4">
        <v>3</v>
      </c>
    </row>
    <row r="84" spans="2:37" ht="19.5" hidden="1" customHeight="1" x14ac:dyDescent="0.25">
      <c r="B84" s="3"/>
      <c r="C84" s="3"/>
      <c r="D84" s="8">
        <v>2021</v>
      </c>
      <c r="F84" s="4">
        <v>4</v>
      </c>
    </row>
    <row r="85" spans="2:37" ht="15" hidden="1" customHeight="1" x14ac:dyDescent="0.25">
      <c r="D85" s="8"/>
      <c r="F85" s="4">
        <v>5</v>
      </c>
    </row>
    <row r="86" spans="2:37" ht="15" hidden="1" customHeight="1" x14ac:dyDescent="0.25">
      <c r="D86" s="8"/>
      <c r="F86" s="4">
        <v>6</v>
      </c>
    </row>
    <row r="87" spans="2:37" ht="15" hidden="1" customHeight="1" x14ac:dyDescent="0.25">
      <c r="D87" s="8"/>
      <c r="F87" s="4">
        <v>7</v>
      </c>
    </row>
    <row r="88" spans="2:37" ht="15" hidden="1" customHeight="1" x14ac:dyDescent="0.25">
      <c r="D88" s="8"/>
      <c r="F88" s="4">
        <v>8</v>
      </c>
    </row>
    <row r="89" spans="2:37" ht="15" hidden="1" customHeight="1" x14ac:dyDescent="0.25">
      <c r="D89" s="8"/>
      <c r="F89" s="4">
        <v>9</v>
      </c>
    </row>
    <row r="90" spans="2:37" ht="15" hidden="1" customHeight="1" x14ac:dyDescent="0.25">
      <c r="D90" s="8"/>
      <c r="F90" s="4">
        <v>10</v>
      </c>
    </row>
    <row r="91" spans="2:37" ht="15" hidden="1" customHeight="1" x14ac:dyDescent="0.25">
      <c r="D91" s="8"/>
      <c r="F91" s="4">
        <v>11</v>
      </c>
    </row>
    <row r="92" spans="2:37" ht="15" hidden="1" customHeight="1" x14ac:dyDescent="0.25">
      <c r="D92" s="8"/>
      <c r="F92" s="4">
        <v>12</v>
      </c>
    </row>
    <row r="93" spans="2:37" ht="15" hidden="1" customHeight="1" x14ac:dyDescent="0.25">
      <c r="B93" s="61" t="s">
        <v>13</v>
      </c>
      <c r="C93" s="61"/>
      <c r="D93" s="61"/>
      <c r="F93" s="61" t="s">
        <v>15</v>
      </c>
      <c r="G93" s="61"/>
      <c r="H93" s="61"/>
      <c r="I93" s="61"/>
      <c r="J93" s="61"/>
      <c r="L93" s="61" t="s">
        <v>12</v>
      </c>
      <c r="M93" s="61"/>
      <c r="N93" s="61"/>
      <c r="O93" s="61"/>
      <c r="P93" s="61"/>
      <c r="Q93" s="18"/>
      <c r="R93"/>
      <c r="S93"/>
      <c r="T93"/>
      <c r="U93"/>
      <c r="Z93" s="8"/>
      <c r="AA93" s="8"/>
      <c r="AB93" s="8"/>
      <c r="AC93" s="8"/>
      <c r="AD93" s="8"/>
      <c r="AE93" s="8"/>
      <c r="AF93" s="8"/>
      <c r="AG93" s="8"/>
      <c r="AH93" s="8"/>
      <c r="AI93" s="8"/>
      <c r="AJ93" s="8"/>
      <c r="AK93" s="8"/>
    </row>
    <row r="94" spans="2:37" ht="15" hidden="1" customHeight="1" x14ac:dyDescent="0.25">
      <c r="B94" s="62">
        <f>IF(R12=1,R18,0)</f>
        <v>0</v>
      </c>
      <c r="C94" s="63"/>
      <c r="D94" s="64"/>
      <c r="E94" s="8"/>
      <c r="F94" s="62">
        <f>IF(X12=1,R18,0)</f>
        <v>0</v>
      </c>
      <c r="G94" s="63"/>
      <c r="H94" s="63"/>
      <c r="I94" s="63"/>
      <c r="J94" s="64"/>
      <c r="K94"/>
      <c r="L94" s="62">
        <f>IF(AE12=1,R18,0)</f>
        <v>0</v>
      </c>
      <c r="M94" s="63"/>
      <c r="N94" s="63"/>
      <c r="O94" s="63"/>
      <c r="P94" s="64"/>
      <c r="R94"/>
      <c r="S94"/>
      <c r="T94"/>
      <c r="U94"/>
      <c r="V94"/>
      <c r="W94"/>
      <c r="X94"/>
      <c r="Y94"/>
      <c r="Z94"/>
      <c r="AA94"/>
      <c r="AB94"/>
      <c r="AC94"/>
      <c r="AD94" s="8"/>
      <c r="AE94" s="8"/>
      <c r="AF94" s="8"/>
      <c r="AG94" s="8"/>
      <c r="AH94" s="8"/>
      <c r="AI94" s="8"/>
      <c r="AJ94" s="8"/>
      <c r="AK94" s="8"/>
    </row>
    <row r="95" spans="2:37" ht="15" hidden="1" customHeight="1" x14ac:dyDescent="0.25">
      <c r="B95" s="55">
        <f>IF(R12=2,R20,0)</f>
        <v>0</v>
      </c>
      <c r="C95" s="56"/>
      <c r="D95" s="57"/>
      <c r="E95" s="8"/>
      <c r="F95" s="55">
        <f>IF(X12=2,R20,0)</f>
        <v>0</v>
      </c>
      <c r="G95" s="56"/>
      <c r="H95" s="56"/>
      <c r="I95" s="56"/>
      <c r="J95" s="57"/>
      <c r="K95"/>
      <c r="L95" s="55">
        <f>IF(AE12=2,R20,0)</f>
        <v>0</v>
      </c>
      <c r="M95" s="56"/>
      <c r="N95" s="56"/>
      <c r="O95" s="56"/>
      <c r="P95" s="57"/>
      <c r="R95"/>
      <c r="S95"/>
      <c r="T95"/>
      <c r="U95"/>
      <c r="V95" s="8"/>
      <c r="W95" s="8"/>
      <c r="X95" s="8"/>
      <c r="Z95" s="8"/>
      <c r="AA95" s="8"/>
      <c r="AB95" s="8"/>
      <c r="AC95" s="8"/>
      <c r="AD95" s="8"/>
      <c r="AE95" s="8"/>
      <c r="AF95" s="8"/>
      <c r="AG95" s="8"/>
      <c r="AH95" s="8"/>
      <c r="AI95" s="8"/>
      <c r="AJ95" s="8"/>
      <c r="AK95" s="8"/>
    </row>
    <row r="96" spans="2:37" ht="15" hidden="1" customHeight="1" x14ac:dyDescent="0.25">
      <c r="B96" s="55">
        <f>IF(R12=3,R22,0)</f>
        <v>0</v>
      </c>
      <c r="C96" s="56"/>
      <c r="D96" s="57"/>
      <c r="E96" s="8"/>
      <c r="F96" s="55">
        <f>IF(X12=3,R22,0)</f>
        <v>0</v>
      </c>
      <c r="G96" s="56"/>
      <c r="H96" s="56"/>
      <c r="I96" s="56"/>
      <c r="J96" s="57"/>
      <c r="K96"/>
      <c r="L96" s="55">
        <f>IF(AE12=3,R22,0)</f>
        <v>0</v>
      </c>
      <c r="M96" s="56"/>
      <c r="N96" s="56"/>
      <c r="O96" s="56"/>
      <c r="P96" s="57"/>
      <c r="R96"/>
      <c r="S96"/>
      <c r="T96"/>
      <c r="U96"/>
      <c r="V96" s="8"/>
      <c r="W96" s="8"/>
      <c r="X96" s="8"/>
      <c r="Z96" s="8"/>
      <c r="AA96" s="8"/>
      <c r="AB96" s="8"/>
      <c r="AC96" s="8"/>
      <c r="AD96" s="8"/>
      <c r="AJ96" s="8"/>
      <c r="AK96" s="8"/>
    </row>
    <row r="97" spans="2:37" ht="15" hidden="1" customHeight="1" x14ac:dyDescent="0.25">
      <c r="B97" s="55">
        <f>IF(R12=4,R24,0)</f>
        <v>0</v>
      </c>
      <c r="C97" s="56"/>
      <c r="D97" s="57"/>
      <c r="E97" s="8"/>
      <c r="F97" s="55">
        <f>IF(X12=4,R24,0)</f>
        <v>0</v>
      </c>
      <c r="G97" s="56"/>
      <c r="H97" s="56"/>
      <c r="I97" s="56"/>
      <c r="J97" s="57"/>
      <c r="K97"/>
      <c r="L97" s="55">
        <f>IF(AE12=4,R24,0)</f>
        <v>0</v>
      </c>
      <c r="M97" s="56"/>
      <c r="N97" s="56"/>
      <c r="O97" s="56"/>
      <c r="P97" s="57"/>
      <c r="R97"/>
      <c r="S97"/>
      <c r="T97"/>
      <c r="U97"/>
      <c r="V97" s="8"/>
      <c r="W97" s="8"/>
      <c r="X97" s="8"/>
      <c r="Z97" s="8"/>
      <c r="AA97" s="8"/>
      <c r="AB97" s="8"/>
      <c r="AC97" s="8"/>
      <c r="AD97" s="8"/>
      <c r="AJ97" s="8"/>
      <c r="AK97" s="8"/>
    </row>
    <row r="98" spans="2:37" ht="15" hidden="1" customHeight="1" x14ac:dyDescent="0.25">
      <c r="B98" s="55">
        <f>IF(R12=5,R26,0)</f>
        <v>0</v>
      </c>
      <c r="C98" s="56"/>
      <c r="D98" s="57"/>
      <c r="E98" s="8"/>
      <c r="F98" s="55">
        <f>IF(X12=5,R26,0)</f>
        <v>0</v>
      </c>
      <c r="G98" s="56"/>
      <c r="H98" s="56"/>
      <c r="I98" s="56"/>
      <c r="J98" s="57"/>
      <c r="K98"/>
      <c r="L98" s="55">
        <f>IF(AE12=5,R26,0)</f>
        <v>0</v>
      </c>
      <c r="M98" s="56"/>
      <c r="N98" s="56"/>
      <c r="O98" s="56"/>
      <c r="P98" s="57"/>
      <c r="R98"/>
      <c r="X98" s="8"/>
      <c r="Z98" s="8"/>
      <c r="AA98" s="8"/>
      <c r="AB98" s="8"/>
      <c r="AC98" s="8"/>
      <c r="AD98" s="8"/>
      <c r="AJ98" s="8"/>
      <c r="AK98" s="8"/>
    </row>
    <row r="99" spans="2:37" ht="15" hidden="1" customHeight="1" x14ac:dyDescent="0.25">
      <c r="B99" s="55">
        <f>IF(R12=6,R28,0)</f>
        <v>0</v>
      </c>
      <c r="C99" s="56"/>
      <c r="D99" s="57"/>
      <c r="E99" s="8"/>
      <c r="F99" s="55">
        <f>IF(X12=6,R28,0)</f>
        <v>0</v>
      </c>
      <c r="G99" s="56"/>
      <c r="H99" s="56"/>
      <c r="I99" s="56"/>
      <c r="J99" s="57"/>
      <c r="K99"/>
      <c r="L99" s="55">
        <f>IF(AE12=6,R28,0)</f>
        <v>0</v>
      </c>
      <c r="M99" s="56"/>
      <c r="N99" s="56"/>
      <c r="O99" s="56"/>
      <c r="P99" s="57"/>
      <c r="R99"/>
      <c r="S99"/>
      <c r="T99"/>
      <c r="U99"/>
      <c r="V99" s="8"/>
      <c r="W99" s="8"/>
      <c r="X99" s="8"/>
      <c r="Z99" s="8"/>
      <c r="AA99" s="8"/>
      <c r="AB99" s="8"/>
      <c r="AC99" s="8"/>
      <c r="AD99" s="8"/>
      <c r="AJ99" s="8"/>
      <c r="AK99" s="8"/>
    </row>
    <row r="100" spans="2:37" ht="15" hidden="1" customHeight="1" x14ac:dyDescent="0.25">
      <c r="B100" s="55">
        <f>IF(R12=7,R30,0)</f>
        <v>0</v>
      </c>
      <c r="C100" s="56"/>
      <c r="D100" s="57"/>
      <c r="E100" s="8"/>
      <c r="F100" s="55">
        <f>IF(X12=7,R30,0)</f>
        <v>0</v>
      </c>
      <c r="G100" s="56"/>
      <c r="H100" s="56"/>
      <c r="I100" s="56"/>
      <c r="J100" s="57"/>
      <c r="K100"/>
      <c r="L100" s="55">
        <f>IF(AE12=7,R30,0)</f>
        <v>0</v>
      </c>
      <c r="M100" s="56"/>
      <c r="N100" s="56"/>
      <c r="O100" s="56"/>
      <c r="P100" s="57"/>
      <c r="R100"/>
      <c r="S100"/>
      <c r="T100"/>
      <c r="U100"/>
      <c r="V100" s="8"/>
      <c r="W100" s="8"/>
      <c r="X100" s="8"/>
      <c r="Z100" s="8"/>
      <c r="AA100" s="8"/>
      <c r="AB100" s="8"/>
      <c r="AC100" s="8"/>
      <c r="AD100" s="8"/>
      <c r="AJ100" s="8"/>
      <c r="AK100" s="8"/>
    </row>
    <row r="101" spans="2:37" ht="15" hidden="1" customHeight="1" x14ac:dyDescent="0.25">
      <c r="B101" s="55">
        <f>IF(R12=8,R32,0)</f>
        <v>0</v>
      </c>
      <c r="C101" s="56"/>
      <c r="D101" s="57"/>
      <c r="E101" s="8"/>
      <c r="F101" s="55">
        <f>IF(X12=8,R32,0)</f>
        <v>0</v>
      </c>
      <c r="G101" s="56"/>
      <c r="H101" s="56"/>
      <c r="I101" s="56"/>
      <c r="J101" s="57"/>
      <c r="K101"/>
      <c r="L101" s="55">
        <f>IF(AE12=8,R32,0)</f>
        <v>0</v>
      </c>
      <c r="M101" s="56"/>
      <c r="N101" s="56"/>
      <c r="O101" s="56"/>
      <c r="P101" s="57"/>
      <c r="R101"/>
      <c r="S101"/>
      <c r="T101"/>
      <c r="U101"/>
      <c r="V101" s="8"/>
      <c r="W101" s="8"/>
      <c r="X101" s="8"/>
      <c r="Z101" s="8"/>
      <c r="AA101" s="8"/>
      <c r="AB101" s="8"/>
      <c r="AC101" s="8"/>
      <c r="AD101" s="8"/>
      <c r="AJ101" s="8"/>
      <c r="AK101" s="8"/>
    </row>
    <row r="102" spans="2:37" ht="15" hidden="1" customHeight="1" x14ac:dyDescent="0.25">
      <c r="B102" s="55">
        <f>IF(R12=9,R34,0)</f>
        <v>0</v>
      </c>
      <c r="C102" s="56"/>
      <c r="D102" s="57"/>
      <c r="E102" s="8"/>
      <c r="F102" s="55">
        <f>IF(X12=9,R34,0)</f>
        <v>0</v>
      </c>
      <c r="G102" s="56"/>
      <c r="H102" s="56"/>
      <c r="I102" s="56"/>
      <c r="J102" s="57"/>
      <c r="K102"/>
      <c r="L102" s="55">
        <f>IF(AE12=9,R34,0)</f>
        <v>0</v>
      </c>
      <c r="M102" s="56"/>
      <c r="N102" s="56"/>
      <c r="O102" s="56"/>
      <c r="P102" s="57"/>
      <c r="R102"/>
      <c r="S102"/>
      <c r="T102"/>
      <c r="U102"/>
      <c r="V102" s="8"/>
      <c r="W102" s="8"/>
      <c r="X102" s="8"/>
      <c r="Z102" s="8"/>
      <c r="AA102" s="8"/>
      <c r="AB102" s="8"/>
      <c r="AC102" s="8"/>
      <c r="AD102" s="8"/>
      <c r="AJ102" s="8"/>
      <c r="AK102" s="8"/>
    </row>
    <row r="103" spans="2:37" ht="15" hidden="1" customHeight="1" x14ac:dyDescent="0.25">
      <c r="B103" s="55">
        <f>IF(R12=10,R36,0)</f>
        <v>0</v>
      </c>
      <c r="C103" s="56"/>
      <c r="D103" s="57"/>
      <c r="E103" s="8"/>
      <c r="F103" s="55">
        <f>IF(X12=10,R36,0)</f>
        <v>0</v>
      </c>
      <c r="G103" s="56"/>
      <c r="H103" s="56"/>
      <c r="I103" s="56"/>
      <c r="J103" s="57"/>
      <c r="K103"/>
      <c r="L103" s="55">
        <f>IF(AE12=10,R36,0)</f>
        <v>0</v>
      </c>
      <c r="M103" s="56"/>
      <c r="N103" s="56"/>
      <c r="O103" s="56"/>
      <c r="P103" s="57"/>
      <c r="R103"/>
      <c r="S103"/>
      <c r="T103"/>
      <c r="U103"/>
      <c r="V103" s="8"/>
      <c r="W103" s="8"/>
      <c r="X103" s="8"/>
      <c r="Z103" s="8"/>
      <c r="AA103" s="8"/>
      <c r="AB103" s="8"/>
      <c r="AC103" s="8"/>
      <c r="AD103" s="8"/>
      <c r="AJ103" s="8"/>
      <c r="AK103" s="8"/>
    </row>
    <row r="104" spans="2:37" ht="15" hidden="1" customHeight="1" x14ac:dyDescent="0.25">
      <c r="B104" s="55">
        <f>IF(R12=11,R38,0)</f>
        <v>0</v>
      </c>
      <c r="C104" s="56"/>
      <c r="D104" s="57"/>
      <c r="E104" s="8"/>
      <c r="F104" s="55">
        <f>IF(X12=11,R38,0)</f>
        <v>0</v>
      </c>
      <c r="G104" s="56"/>
      <c r="H104" s="56"/>
      <c r="I104" s="56"/>
      <c r="J104" s="57"/>
      <c r="K104"/>
      <c r="L104" s="55">
        <f>IF(AE12=11,R38,0)</f>
        <v>0</v>
      </c>
      <c r="M104" s="56"/>
      <c r="N104" s="56"/>
      <c r="O104" s="56"/>
      <c r="P104" s="57"/>
      <c r="R104"/>
      <c r="S104"/>
      <c r="T104"/>
      <c r="U104"/>
      <c r="V104" s="8"/>
      <c r="W104" s="8"/>
      <c r="X104" s="8"/>
      <c r="Z104" s="8"/>
      <c r="AA104" s="8"/>
      <c r="AB104" s="8"/>
      <c r="AC104" s="8"/>
      <c r="AD104" s="8"/>
      <c r="AJ104" s="8"/>
      <c r="AK104" s="8"/>
    </row>
    <row r="105" spans="2:37" ht="15" hidden="1" customHeight="1" x14ac:dyDescent="0.25">
      <c r="B105" s="55">
        <f>IF(R12=12,R40,0)</f>
        <v>0.31944444444444448</v>
      </c>
      <c r="C105" s="56"/>
      <c r="D105" s="57"/>
      <c r="E105" s="8"/>
      <c r="F105" s="55">
        <f>IF(X12=12,R40,0)</f>
        <v>0</v>
      </c>
      <c r="G105" s="56"/>
      <c r="H105" s="56"/>
      <c r="I105" s="56"/>
      <c r="J105" s="57"/>
      <c r="K105"/>
      <c r="L105" s="55">
        <f>IF(AE12=12,R40,0)</f>
        <v>0</v>
      </c>
      <c r="M105" s="56"/>
      <c r="N105" s="56"/>
      <c r="O105" s="56"/>
      <c r="P105" s="57"/>
      <c r="R105"/>
      <c r="S105"/>
      <c r="T105"/>
      <c r="U105"/>
      <c r="V105" s="8"/>
      <c r="W105" s="8"/>
      <c r="X105" s="8"/>
      <c r="Z105" s="8"/>
      <c r="AA105" s="8"/>
      <c r="AB105" s="8"/>
      <c r="AC105" s="8"/>
      <c r="AD105" s="8"/>
      <c r="AJ105" s="8"/>
      <c r="AK105" s="8"/>
    </row>
    <row r="106" spans="2:37" ht="15" hidden="1" customHeight="1" x14ac:dyDescent="0.25">
      <c r="B106" s="55">
        <f>IF(R12=13,R42,0)</f>
        <v>0</v>
      </c>
      <c r="C106" s="56"/>
      <c r="D106" s="57"/>
      <c r="E106" s="8"/>
      <c r="F106" s="55">
        <f>IF(X12=13,R42,0)</f>
        <v>0</v>
      </c>
      <c r="G106" s="56"/>
      <c r="H106" s="56"/>
      <c r="I106" s="56"/>
      <c r="J106" s="57"/>
      <c r="K106"/>
      <c r="L106" s="55">
        <f>IF(AE12=13,R42,0)</f>
        <v>0</v>
      </c>
      <c r="M106" s="56"/>
      <c r="N106" s="56"/>
      <c r="O106" s="56"/>
      <c r="P106" s="57"/>
      <c r="R106"/>
      <c r="S106"/>
      <c r="T106"/>
      <c r="U106"/>
      <c r="V106" s="8"/>
      <c r="W106" s="8"/>
      <c r="X106" s="8"/>
      <c r="Z106" s="8"/>
      <c r="AA106" s="8"/>
      <c r="AB106" s="8"/>
      <c r="AC106" s="8"/>
      <c r="AD106" s="8"/>
      <c r="AJ106" s="8"/>
      <c r="AK106" s="8"/>
    </row>
    <row r="107" spans="2:37" ht="15" hidden="1" customHeight="1" x14ac:dyDescent="0.25">
      <c r="B107" s="55">
        <f>IF(R12=14,R44,0)</f>
        <v>0</v>
      </c>
      <c r="C107" s="56"/>
      <c r="D107" s="57"/>
      <c r="E107" s="8"/>
      <c r="F107" s="55">
        <f>IF(X12=14,R44,0)</f>
        <v>0</v>
      </c>
      <c r="G107" s="56"/>
      <c r="H107" s="56"/>
      <c r="I107" s="56"/>
      <c r="J107" s="57"/>
      <c r="K107"/>
      <c r="L107" s="55">
        <f>IF(AE12=14,R44,0)</f>
        <v>0</v>
      </c>
      <c r="M107" s="56"/>
      <c r="N107" s="56"/>
      <c r="O107" s="56"/>
      <c r="P107" s="57"/>
      <c r="R107"/>
      <c r="S107"/>
      <c r="T107"/>
      <c r="U107"/>
      <c r="V107" s="8"/>
      <c r="W107" s="8"/>
      <c r="X107" s="8"/>
      <c r="Z107" s="8"/>
      <c r="AA107" s="8"/>
      <c r="AB107" s="8"/>
      <c r="AC107" s="8"/>
      <c r="AD107" s="8"/>
      <c r="AJ107" s="8"/>
      <c r="AK107" s="8"/>
    </row>
    <row r="108" spans="2:37" ht="15" hidden="1" customHeight="1" x14ac:dyDescent="0.25">
      <c r="B108" s="55">
        <f>IF(R12=15,R46,0)</f>
        <v>0</v>
      </c>
      <c r="C108" s="56"/>
      <c r="D108" s="57"/>
      <c r="E108" s="8"/>
      <c r="F108" s="55">
        <f>IF(X12=15,R46,0)</f>
        <v>0</v>
      </c>
      <c r="G108" s="56"/>
      <c r="H108" s="56"/>
      <c r="I108" s="56"/>
      <c r="J108" s="57"/>
      <c r="K108"/>
      <c r="L108" s="55">
        <f>IF(AE12=15,R46,0)</f>
        <v>0</v>
      </c>
      <c r="M108" s="56"/>
      <c r="N108" s="56"/>
      <c r="O108" s="56"/>
      <c r="P108" s="57"/>
      <c r="R108"/>
      <c r="S108"/>
      <c r="T108"/>
      <c r="U108"/>
      <c r="V108" s="8"/>
      <c r="W108" s="8"/>
      <c r="X108" s="8"/>
      <c r="Z108" s="8"/>
      <c r="AA108" s="8"/>
      <c r="AB108" s="8"/>
      <c r="AC108" s="8"/>
      <c r="AD108" s="8"/>
      <c r="AJ108" s="8"/>
      <c r="AK108" s="8"/>
    </row>
    <row r="109" spans="2:37" ht="15" hidden="1" customHeight="1" x14ac:dyDescent="0.25">
      <c r="B109" s="55">
        <f>IF(R12=16,R48,0)</f>
        <v>0</v>
      </c>
      <c r="C109" s="56"/>
      <c r="D109" s="57"/>
      <c r="E109" s="8"/>
      <c r="F109" s="55">
        <f>IF(X12=16,R48,0)</f>
        <v>0</v>
      </c>
      <c r="G109" s="56"/>
      <c r="H109" s="56"/>
      <c r="I109" s="56"/>
      <c r="J109" s="57"/>
      <c r="K109"/>
      <c r="L109" s="55">
        <f>IF(AE12=16,R48,0)</f>
        <v>0</v>
      </c>
      <c r="M109" s="56"/>
      <c r="N109" s="56"/>
      <c r="O109" s="56"/>
      <c r="P109" s="57"/>
      <c r="R109"/>
      <c r="S109"/>
      <c r="T109"/>
      <c r="U109"/>
      <c r="V109" s="8"/>
      <c r="W109" s="8"/>
      <c r="X109" s="8"/>
      <c r="Z109" s="8"/>
      <c r="AA109" s="8"/>
      <c r="AB109" s="8"/>
      <c r="AC109" s="8"/>
      <c r="AD109" s="8"/>
      <c r="AJ109" s="8"/>
      <c r="AK109" s="8"/>
    </row>
    <row r="110" spans="2:37" ht="15" hidden="1" customHeight="1" x14ac:dyDescent="0.25">
      <c r="B110" s="55">
        <f>IF(R12=17,R50,0)</f>
        <v>0</v>
      </c>
      <c r="C110" s="56"/>
      <c r="D110" s="57"/>
      <c r="E110" s="8"/>
      <c r="F110" s="55">
        <f>IF(X12=17,R50,0)</f>
        <v>0</v>
      </c>
      <c r="G110" s="56"/>
      <c r="H110" s="56"/>
      <c r="I110" s="56"/>
      <c r="J110" s="57"/>
      <c r="K110"/>
      <c r="L110" s="55">
        <f>IF(AE12=17,R50,0)</f>
        <v>0</v>
      </c>
      <c r="M110" s="56"/>
      <c r="N110" s="56"/>
      <c r="O110" s="56"/>
      <c r="P110" s="57"/>
      <c r="R110"/>
      <c r="S110"/>
      <c r="T110"/>
      <c r="U110"/>
      <c r="V110" s="8"/>
      <c r="W110" s="8"/>
      <c r="X110" s="8"/>
      <c r="Z110" s="8"/>
      <c r="AA110" s="8"/>
      <c r="AB110" s="8"/>
      <c r="AC110" s="8"/>
      <c r="AD110" s="8"/>
      <c r="AJ110" s="8"/>
      <c r="AK110" s="8"/>
    </row>
    <row r="111" spans="2:37" ht="15" hidden="1" customHeight="1" x14ac:dyDescent="0.25">
      <c r="B111" s="55">
        <f>IF(R12=18,R52,0)</f>
        <v>0</v>
      </c>
      <c r="C111" s="56"/>
      <c r="D111" s="57"/>
      <c r="E111" s="8"/>
      <c r="F111" s="55">
        <f>IF(X12=18,R52,0)</f>
        <v>0</v>
      </c>
      <c r="G111" s="56"/>
      <c r="H111" s="56"/>
      <c r="I111" s="56"/>
      <c r="J111" s="57"/>
      <c r="K111"/>
      <c r="L111" s="55">
        <f>IF(AE12=18,R52,0)</f>
        <v>0</v>
      </c>
      <c r="M111" s="56"/>
      <c r="N111" s="56"/>
      <c r="O111" s="56"/>
      <c r="P111" s="57"/>
      <c r="R111"/>
      <c r="S111"/>
      <c r="T111"/>
      <c r="U111"/>
      <c r="V111" s="8"/>
      <c r="W111" s="8"/>
      <c r="X111" s="8"/>
      <c r="Z111" s="8"/>
      <c r="AA111" s="8"/>
      <c r="AB111" s="8"/>
      <c r="AC111" s="8"/>
      <c r="AD111" s="8"/>
      <c r="AJ111" s="8"/>
      <c r="AK111" s="8"/>
    </row>
    <row r="112" spans="2:37" ht="15" hidden="1" customHeight="1" x14ac:dyDescent="0.25">
      <c r="B112" s="55">
        <f>IF(R12=19,R54,0)</f>
        <v>0</v>
      </c>
      <c r="C112" s="56"/>
      <c r="D112" s="57"/>
      <c r="E112" s="8"/>
      <c r="F112" s="55">
        <f>IF(X12=19,R54,0)</f>
        <v>0</v>
      </c>
      <c r="G112" s="56"/>
      <c r="H112" s="56"/>
      <c r="I112" s="56"/>
      <c r="J112" s="57"/>
      <c r="K112"/>
      <c r="L112" s="55">
        <f>IF(AE12=19,R54,0)</f>
        <v>0</v>
      </c>
      <c r="M112" s="56"/>
      <c r="N112" s="56"/>
      <c r="O112" s="56"/>
      <c r="P112" s="57"/>
      <c r="R112"/>
      <c r="S112"/>
      <c r="T112"/>
      <c r="U112"/>
      <c r="V112" s="8"/>
      <c r="W112" s="8"/>
      <c r="X112" s="8"/>
      <c r="Z112" s="8"/>
      <c r="AA112" s="8"/>
      <c r="AB112" s="8"/>
      <c r="AC112" s="8"/>
      <c r="AD112" s="8"/>
      <c r="AJ112" s="8"/>
      <c r="AK112" s="8"/>
    </row>
    <row r="113" spans="2:37" ht="15" hidden="1" customHeight="1" x14ac:dyDescent="0.25">
      <c r="B113" s="55">
        <f>IF(R12=20,R56,0)</f>
        <v>0</v>
      </c>
      <c r="C113" s="56"/>
      <c r="D113" s="57"/>
      <c r="E113" s="8"/>
      <c r="F113" s="55">
        <f>IF(X12=20,R56,0)</f>
        <v>0</v>
      </c>
      <c r="G113" s="56"/>
      <c r="H113" s="56"/>
      <c r="I113" s="56"/>
      <c r="J113" s="57"/>
      <c r="K113"/>
      <c r="L113" s="55">
        <f>IF(AE12=20,R56,0)</f>
        <v>0</v>
      </c>
      <c r="M113" s="56"/>
      <c r="N113" s="56"/>
      <c r="O113" s="56"/>
      <c r="P113" s="57"/>
      <c r="R113"/>
      <c r="S113"/>
      <c r="T113"/>
      <c r="U113"/>
      <c r="V113" s="8"/>
      <c r="W113" s="8"/>
      <c r="X113" s="8"/>
      <c r="Z113" s="8"/>
      <c r="AA113" s="8"/>
      <c r="AB113" s="8"/>
      <c r="AC113" s="8"/>
      <c r="AD113" s="8"/>
      <c r="AJ113" s="8"/>
      <c r="AK113" s="8"/>
    </row>
    <row r="114" spans="2:37" ht="15" hidden="1" customHeight="1" x14ac:dyDescent="0.25">
      <c r="B114" s="55">
        <f>IF(R12=21,R58,0)</f>
        <v>0</v>
      </c>
      <c r="C114" s="56"/>
      <c r="D114" s="57"/>
      <c r="E114" s="8"/>
      <c r="F114" s="55">
        <f>IF(X12=21,R58,0)</f>
        <v>0</v>
      </c>
      <c r="G114" s="56"/>
      <c r="H114" s="56"/>
      <c r="I114" s="56"/>
      <c r="J114" s="57"/>
      <c r="K114"/>
      <c r="L114" s="55">
        <f>IF(AE12=21,R58,0)</f>
        <v>0</v>
      </c>
      <c r="M114" s="56"/>
      <c r="N114" s="56"/>
      <c r="O114" s="56"/>
      <c r="P114" s="57"/>
      <c r="R114"/>
      <c r="S114"/>
      <c r="T114"/>
      <c r="U114"/>
      <c r="V114" s="8"/>
      <c r="W114" s="8"/>
      <c r="X114" s="8"/>
      <c r="Z114" s="8"/>
      <c r="AA114" s="8"/>
      <c r="AB114" s="8"/>
      <c r="AC114" s="8"/>
      <c r="AD114" s="8"/>
      <c r="AJ114" s="8"/>
      <c r="AK114" s="8"/>
    </row>
    <row r="115" spans="2:37" ht="15" hidden="1" customHeight="1" x14ac:dyDescent="0.25">
      <c r="B115" s="55">
        <f>IF(R12=22,R60,0)</f>
        <v>0</v>
      </c>
      <c r="C115" s="56"/>
      <c r="D115" s="57"/>
      <c r="E115" s="8"/>
      <c r="F115" s="55">
        <f>IF(X12=22,R60,0)</f>
        <v>0</v>
      </c>
      <c r="G115" s="56"/>
      <c r="H115" s="56"/>
      <c r="I115" s="56"/>
      <c r="J115" s="57"/>
      <c r="K115"/>
      <c r="L115" s="55">
        <f>IF(AE12=22,R60,0)</f>
        <v>0</v>
      </c>
      <c r="M115" s="56"/>
      <c r="N115" s="56"/>
      <c r="O115" s="56"/>
      <c r="P115" s="57"/>
      <c r="R115"/>
      <c r="S115"/>
      <c r="T115"/>
      <c r="U115"/>
      <c r="V115" s="8"/>
      <c r="W115" s="8"/>
      <c r="X115" s="8"/>
      <c r="Z115" s="8"/>
      <c r="AA115" s="8"/>
      <c r="AB115" s="8"/>
      <c r="AC115" s="8"/>
      <c r="AD115" s="8"/>
      <c r="AJ115" s="8"/>
      <c r="AK115" s="8"/>
    </row>
    <row r="116" spans="2:37" ht="15" hidden="1" customHeight="1" x14ac:dyDescent="0.25">
      <c r="B116" s="55">
        <f>IF(R12=23,R62,0)</f>
        <v>0</v>
      </c>
      <c r="C116" s="56"/>
      <c r="D116" s="57"/>
      <c r="E116" s="8"/>
      <c r="F116" s="55">
        <f>IF(X12=23,R62,0)</f>
        <v>0</v>
      </c>
      <c r="G116" s="56"/>
      <c r="H116" s="56"/>
      <c r="I116" s="56"/>
      <c r="J116" s="57"/>
      <c r="K116"/>
      <c r="L116" s="55">
        <f>IF(AE12=23,R62,0)</f>
        <v>0</v>
      </c>
      <c r="M116" s="56"/>
      <c r="N116" s="56"/>
      <c r="O116" s="56"/>
      <c r="P116" s="57"/>
      <c r="R116"/>
      <c r="S116"/>
      <c r="T116"/>
      <c r="U116"/>
      <c r="V116" s="8"/>
      <c r="W116" s="8"/>
      <c r="X116" s="8"/>
      <c r="Z116" s="8"/>
      <c r="AA116" s="8"/>
      <c r="AB116" s="8"/>
      <c r="AC116" s="8"/>
      <c r="AD116" s="8"/>
      <c r="AJ116" s="8"/>
      <c r="AK116" s="8"/>
    </row>
    <row r="117" spans="2:37" ht="15" hidden="1" customHeight="1" x14ac:dyDescent="0.25">
      <c r="B117" s="55">
        <f>IF(R12=24,R64,0)</f>
        <v>0</v>
      </c>
      <c r="C117" s="56"/>
      <c r="D117" s="57"/>
      <c r="E117" s="8"/>
      <c r="F117" s="55">
        <f>IF(X12=24,R64,0)</f>
        <v>0</v>
      </c>
      <c r="G117" s="56"/>
      <c r="H117" s="56"/>
      <c r="I117" s="56"/>
      <c r="J117" s="57"/>
      <c r="K117"/>
      <c r="L117" s="55">
        <f>IF(AE12=24,R64,0)</f>
        <v>0</v>
      </c>
      <c r="M117" s="56"/>
      <c r="N117" s="56"/>
      <c r="O117" s="56"/>
      <c r="P117" s="57"/>
      <c r="R117"/>
      <c r="S117"/>
      <c r="T117"/>
      <c r="U117"/>
      <c r="V117" s="8"/>
      <c r="W117" s="8"/>
      <c r="X117" s="8"/>
      <c r="Z117" s="8"/>
      <c r="AA117" s="8"/>
      <c r="AB117" s="8"/>
      <c r="AC117" s="8"/>
      <c r="AD117" s="8"/>
      <c r="AJ117" s="8"/>
      <c r="AK117" s="8"/>
    </row>
    <row r="118" spans="2:37" ht="15" hidden="1" customHeight="1" x14ac:dyDescent="0.25">
      <c r="B118" s="55">
        <f>IF(R12=25,R66,0)</f>
        <v>0</v>
      </c>
      <c r="C118" s="56"/>
      <c r="D118" s="57"/>
      <c r="E118" s="8"/>
      <c r="F118" s="55">
        <f>IF(X12=25,R66,0)</f>
        <v>0</v>
      </c>
      <c r="G118" s="56"/>
      <c r="H118" s="56"/>
      <c r="I118" s="56"/>
      <c r="J118" s="57"/>
      <c r="K118"/>
      <c r="L118" s="55">
        <f>IF(AE12=25,R66,0)</f>
        <v>0</v>
      </c>
      <c r="M118" s="56"/>
      <c r="N118" s="56"/>
      <c r="O118" s="56"/>
      <c r="P118" s="57"/>
      <c r="R118"/>
      <c r="S118"/>
      <c r="T118"/>
      <c r="U118"/>
      <c r="V118" s="8"/>
      <c r="W118" s="8"/>
      <c r="X118" s="8"/>
      <c r="Z118" s="8"/>
      <c r="AA118" s="8"/>
      <c r="AB118" s="8"/>
      <c r="AC118" s="8"/>
      <c r="AD118" s="8"/>
      <c r="AJ118" s="8"/>
      <c r="AK118" s="8"/>
    </row>
    <row r="119" spans="2:37" ht="15" hidden="1" customHeight="1" x14ac:dyDescent="0.25">
      <c r="B119" s="55">
        <f>IF(R12=26,R68,0)</f>
        <v>0</v>
      </c>
      <c r="C119" s="56"/>
      <c r="D119" s="57"/>
      <c r="E119" s="8"/>
      <c r="F119" s="55">
        <f>IF(X12=26,R68,0)</f>
        <v>0</v>
      </c>
      <c r="G119" s="56"/>
      <c r="H119" s="56"/>
      <c r="I119" s="56"/>
      <c r="J119" s="57"/>
      <c r="K119"/>
      <c r="L119" s="55">
        <f>IF(AE12=26,R68,0)</f>
        <v>0</v>
      </c>
      <c r="M119" s="56"/>
      <c r="N119" s="56"/>
      <c r="O119" s="56"/>
      <c r="P119" s="57"/>
      <c r="R119"/>
      <c r="S119"/>
      <c r="T119"/>
      <c r="U119"/>
      <c r="V119" s="8"/>
      <c r="W119" s="8"/>
      <c r="X119" s="8"/>
      <c r="Z119" s="8"/>
      <c r="AA119" s="8"/>
      <c r="AB119" s="8"/>
      <c r="AC119" s="8"/>
      <c r="AD119" s="8"/>
      <c r="AJ119" s="8"/>
      <c r="AK119" s="8"/>
    </row>
    <row r="120" spans="2:37" ht="15" hidden="1" customHeight="1" x14ac:dyDescent="0.25">
      <c r="B120" s="55">
        <f>IF(R12=27,R70,0)</f>
        <v>0</v>
      </c>
      <c r="C120" s="56"/>
      <c r="D120" s="57"/>
      <c r="E120" s="8"/>
      <c r="F120" s="55">
        <f>IF(X12=27,R70,0)</f>
        <v>0</v>
      </c>
      <c r="G120" s="56"/>
      <c r="H120" s="56"/>
      <c r="I120" s="56"/>
      <c r="J120" s="57"/>
      <c r="K120"/>
      <c r="L120" s="55">
        <f>IF(AE12=27,R70,0)</f>
        <v>0</v>
      </c>
      <c r="M120" s="56"/>
      <c r="N120" s="56"/>
      <c r="O120" s="56"/>
      <c r="P120" s="57"/>
      <c r="R120"/>
      <c r="S120"/>
      <c r="T120"/>
      <c r="U120"/>
      <c r="V120" s="8"/>
      <c r="W120" s="8"/>
      <c r="X120" s="8"/>
      <c r="Z120" s="8"/>
      <c r="AA120" s="8"/>
      <c r="AB120" s="8"/>
      <c r="AC120" s="8"/>
      <c r="AD120" s="8"/>
      <c r="AJ120" s="8"/>
      <c r="AK120" s="8"/>
    </row>
    <row r="121" spans="2:37" ht="15" hidden="1" customHeight="1" x14ac:dyDescent="0.25">
      <c r="B121" s="55">
        <f>IF(R12=28,R72,0)</f>
        <v>0</v>
      </c>
      <c r="C121" s="56"/>
      <c r="D121" s="57"/>
      <c r="E121" s="8"/>
      <c r="F121" s="55">
        <f>IF(X12=28,R72,0)</f>
        <v>0</v>
      </c>
      <c r="G121" s="56"/>
      <c r="H121" s="56"/>
      <c r="I121" s="56"/>
      <c r="J121" s="57"/>
      <c r="K121"/>
      <c r="L121" s="55">
        <f>IF(AE12=28,R72,0)</f>
        <v>0</v>
      </c>
      <c r="M121" s="56"/>
      <c r="N121" s="56"/>
      <c r="O121" s="56"/>
      <c r="P121" s="57"/>
      <c r="R121"/>
      <c r="S121"/>
      <c r="T121"/>
      <c r="U121"/>
      <c r="V121" s="8"/>
      <c r="W121" s="8"/>
      <c r="X121" s="8"/>
      <c r="Z121" s="8"/>
      <c r="AA121" s="8"/>
      <c r="AB121" s="8"/>
      <c r="AC121" s="8"/>
      <c r="AD121" s="8"/>
      <c r="AJ121" s="8"/>
      <c r="AK121" s="8"/>
    </row>
    <row r="122" spans="2:37" ht="15" hidden="1" customHeight="1" x14ac:dyDescent="0.25">
      <c r="B122" s="55">
        <f>IF(R12=29,R74,0)</f>
        <v>0</v>
      </c>
      <c r="C122" s="56"/>
      <c r="D122" s="57"/>
      <c r="E122" s="8"/>
      <c r="F122" s="55">
        <f>IF(X12=29,R74,0)</f>
        <v>0</v>
      </c>
      <c r="G122" s="56"/>
      <c r="H122" s="56"/>
      <c r="I122" s="56"/>
      <c r="J122" s="57"/>
      <c r="K122"/>
      <c r="L122" s="55">
        <f>IF(AE12=29,R74,0)</f>
        <v>0</v>
      </c>
      <c r="M122" s="56"/>
      <c r="N122" s="56"/>
      <c r="O122" s="56"/>
      <c r="P122" s="57"/>
      <c r="R122"/>
      <c r="S122"/>
      <c r="T122"/>
      <c r="U122"/>
      <c r="V122" s="8"/>
      <c r="W122" s="8"/>
      <c r="X122" s="8"/>
      <c r="Z122" s="8"/>
      <c r="AA122" s="8"/>
      <c r="AB122" s="8"/>
      <c r="AC122" s="8"/>
      <c r="AD122" s="8"/>
      <c r="AJ122" s="8"/>
      <c r="AK122" s="8"/>
    </row>
    <row r="123" spans="2:37" ht="15" hidden="1" customHeight="1" x14ac:dyDescent="0.25">
      <c r="B123" s="55">
        <f>IF(R12=30,R76,0)</f>
        <v>0</v>
      </c>
      <c r="C123" s="56"/>
      <c r="D123" s="57"/>
      <c r="E123" s="8"/>
      <c r="F123" s="55">
        <f>IF(X12=30,R76,0)</f>
        <v>0</v>
      </c>
      <c r="G123" s="56"/>
      <c r="H123" s="56"/>
      <c r="I123" s="56"/>
      <c r="J123" s="57"/>
      <c r="K123"/>
      <c r="L123" s="55">
        <f>IF(AE12=30,R76,0)</f>
        <v>0</v>
      </c>
      <c r="M123" s="56"/>
      <c r="N123" s="56"/>
      <c r="O123" s="56"/>
      <c r="P123" s="57"/>
      <c r="R123"/>
      <c r="S123"/>
      <c r="T123"/>
      <c r="U123"/>
      <c r="V123" s="8"/>
      <c r="W123" s="8"/>
      <c r="X123" s="8"/>
      <c r="Z123" s="8"/>
      <c r="AA123" s="8"/>
      <c r="AB123" s="8"/>
      <c r="AC123" s="8"/>
      <c r="AD123" s="8"/>
      <c r="AJ123" s="8"/>
      <c r="AK123" s="8"/>
    </row>
    <row r="124" spans="2:37" ht="15" hidden="1" customHeight="1" x14ac:dyDescent="0.25">
      <c r="B124" s="58">
        <f>IF(R12=31,R78,0)</f>
        <v>0</v>
      </c>
      <c r="C124" s="59"/>
      <c r="D124" s="60"/>
      <c r="E124" s="8"/>
      <c r="F124" s="58">
        <f>IF(X12=31,R78,0)</f>
        <v>0</v>
      </c>
      <c r="G124" s="59"/>
      <c r="H124" s="59"/>
      <c r="I124" s="59"/>
      <c r="J124" s="60"/>
      <c r="K124"/>
      <c r="L124" s="58">
        <f>IF(AE12=31,R78,0)</f>
        <v>0</v>
      </c>
      <c r="M124" s="59"/>
      <c r="N124" s="59"/>
      <c r="O124" s="59"/>
      <c r="P124" s="60"/>
      <c r="R124"/>
      <c r="S124"/>
      <c r="T124"/>
      <c r="U124"/>
      <c r="V124" s="8"/>
      <c r="W124" s="8"/>
      <c r="X124" s="8"/>
      <c r="Z124" s="8"/>
      <c r="AA124" s="8"/>
      <c r="AB124" s="8"/>
      <c r="AC124" s="8"/>
      <c r="AD124" s="8"/>
      <c r="AJ124" s="8"/>
      <c r="AK124" s="8"/>
    </row>
    <row r="125" spans="2:37" ht="15" hidden="1" customHeight="1" x14ac:dyDescent="0.25">
      <c r="B125" s="56">
        <f>SUM(B94:D124)</f>
        <v>0.31944444444444448</v>
      </c>
      <c r="C125" s="56"/>
      <c r="D125" s="79"/>
      <c r="F125" s="56">
        <f>SUM(F94:J124)</f>
        <v>0</v>
      </c>
      <c r="G125" s="56"/>
      <c r="H125" s="56"/>
      <c r="I125" s="56"/>
      <c r="J125" s="56"/>
      <c r="K125"/>
      <c r="L125" s="56">
        <f>SUM(L94:P124)</f>
        <v>0</v>
      </c>
      <c r="M125" s="56"/>
      <c r="N125" s="56"/>
      <c r="O125" s="56"/>
      <c r="P125" s="56"/>
      <c r="R125"/>
      <c r="S125"/>
      <c r="T125"/>
      <c r="U125"/>
      <c r="Z125" s="8"/>
      <c r="AA125" s="8"/>
      <c r="AB125" s="8"/>
      <c r="AC125" s="8"/>
      <c r="AD125" s="8"/>
      <c r="AJ125" s="8"/>
      <c r="AK125" s="8"/>
    </row>
    <row r="126" spans="2:37" ht="15" hidden="1" customHeight="1" x14ac:dyDescent="0.25"/>
    <row r="127" spans="2:37" ht="15" hidden="1" customHeight="1" x14ac:dyDescent="0.25"/>
    <row r="128" spans="2:37"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6" customHeight="1" x14ac:dyDescent="0.25"/>
    <row r="136" ht="9.9499999999999993" customHeight="1" x14ac:dyDescent="0.25"/>
    <row r="137" ht="9.9499999999999993" customHeight="1" x14ac:dyDescent="0.25"/>
    <row r="138" ht="9.9499999999999993" customHeight="1" x14ac:dyDescent="0.25"/>
  </sheetData>
  <sheetProtection sheet="1" objects="1" scenarios="1" selectLockedCells="1"/>
  <mergeCells count="443">
    <mergeCell ref="AE12:AJ12"/>
    <mergeCell ref="AE10:AJ10"/>
    <mergeCell ref="B2:AJ2"/>
    <mergeCell ref="B7:AJ7"/>
    <mergeCell ref="B8:AJ8"/>
    <mergeCell ref="B10:D10"/>
    <mergeCell ref="F10:J10"/>
    <mergeCell ref="L10:P10"/>
    <mergeCell ref="R10:V10"/>
    <mergeCell ref="F4:AJ4"/>
    <mergeCell ref="B16:D16"/>
    <mergeCell ref="F16:G16"/>
    <mergeCell ref="I16:J16"/>
    <mergeCell ref="L16:M16"/>
    <mergeCell ref="O16:P16"/>
    <mergeCell ref="R16:S16"/>
    <mergeCell ref="B12:D12"/>
    <mergeCell ref="F12:J12"/>
    <mergeCell ref="L12:P12"/>
    <mergeCell ref="R12:V12"/>
    <mergeCell ref="U16:V16"/>
    <mergeCell ref="X16:Y16"/>
    <mergeCell ref="AB16:AC16"/>
    <mergeCell ref="AE16:AF16"/>
    <mergeCell ref="AI16:AJ16"/>
    <mergeCell ref="I18:J18"/>
    <mergeCell ref="L18:M18"/>
    <mergeCell ref="O18:P18"/>
    <mergeCell ref="R18:S18"/>
    <mergeCell ref="U18:V18"/>
    <mergeCell ref="X18:Y18"/>
    <mergeCell ref="AB18:AC18"/>
    <mergeCell ref="AE18:AF18"/>
    <mergeCell ref="AI18:AJ18"/>
    <mergeCell ref="I20:J20"/>
    <mergeCell ref="L20:M20"/>
    <mergeCell ref="O20:P20"/>
    <mergeCell ref="R20:S20"/>
    <mergeCell ref="U20:V20"/>
    <mergeCell ref="X20:Y20"/>
    <mergeCell ref="AB20:AC20"/>
    <mergeCell ref="AE20:AF20"/>
    <mergeCell ref="AI20:AJ20"/>
    <mergeCell ref="I22:J22"/>
    <mergeCell ref="L22:M22"/>
    <mergeCell ref="O22:P22"/>
    <mergeCell ref="R22:S22"/>
    <mergeCell ref="AE24:AF24"/>
    <mergeCell ref="AI24:AJ24"/>
    <mergeCell ref="I26:J26"/>
    <mergeCell ref="L26:M26"/>
    <mergeCell ref="O26:P26"/>
    <mergeCell ref="R26:S26"/>
    <mergeCell ref="U22:V22"/>
    <mergeCell ref="X22:Y22"/>
    <mergeCell ref="AB22:AC22"/>
    <mergeCell ref="AE22:AF22"/>
    <mergeCell ref="AI22:AJ22"/>
    <mergeCell ref="I24:J24"/>
    <mergeCell ref="L24:M24"/>
    <mergeCell ref="O24:P24"/>
    <mergeCell ref="R24:S24"/>
    <mergeCell ref="AE28:AF28"/>
    <mergeCell ref="AI28:AJ28"/>
    <mergeCell ref="I30:J30"/>
    <mergeCell ref="L30:M30"/>
    <mergeCell ref="O30:P30"/>
    <mergeCell ref="R30:S30"/>
    <mergeCell ref="U26:V26"/>
    <mergeCell ref="X26:Y26"/>
    <mergeCell ref="AB26:AC26"/>
    <mergeCell ref="AE26:AF26"/>
    <mergeCell ref="AI26:AJ26"/>
    <mergeCell ref="I28:J28"/>
    <mergeCell ref="L28:M28"/>
    <mergeCell ref="O28:P28"/>
    <mergeCell ref="R28:S28"/>
    <mergeCell ref="AE32:AF32"/>
    <mergeCell ref="AI32:AJ32"/>
    <mergeCell ref="I34:J34"/>
    <mergeCell ref="L34:M34"/>
    <mergeCell ref="O34:P34"/>
    <mergeCell ref="R34:S34"/>
    <mergeCell ref="U30:V30"/>
    <mergeCell ref="X30:Y30"/>
    <mergeCell ref="AB30:AC30"/>
    <mergeCell ref="AE30:AF30"/>
    <mergeCell ref="AI30:AJ30"/>
    <mergeCell ref="I32:J32"/>
    <mergeCell ref="L32:M32"/>
    <mergeCell ref="O32:P32"/>
    <mergeCell ref="R32:S32"/>
    <mergeCell ref="AE36:AF36"/>
    <mergeCell ref="AI36:AJ36"/>
    <mergeCell ref="I38:J38"/>
    <mergeCell ref="L38:M38"/>
    <mergeCell ref="O38:P38"/>
    <mergeCell ref="R38:S38"/>
    <mergeCell ref="U34:V34"/>
    <mergeCell ref="X34:Y34"/>
    <mergeCell ref="AB34:AC34"/>
    <mergeCell ref="AE34:AF34"/>
    <mergeCell ref="AI34:AJ34"/>
    <mergeCell ref="I36:J36"/>
    <mergeCell ref="L36:M36"/>
    <mergeCell ref="O36:P36"/>
    <mergeCell ref="R36:S36"/>
    <mergeCell ref="U38:V38"/>
    <mergeCell ref="X38:Y38"/>
    <mergeCell ref="AB38:AC38"/>
    <mergeCell ref="AE38:AF38"/>
    <mergeCell ref="AI38:AJ38"/>
    <mergeCell ref="I40:J40"/>
    <mergeCell ref="L40:M40"/>
    <mergeCell ref="O40:P40"/>
    <mergeCell ref="R40:S40"/>
    <mergeCell ref="U40:V40"/>
    <mergeCell ref="X40:Y40"/>
    <mergeCell ref="AB40:AC40"/>
    <mergeCell ref="AE40:AF40"/>
    <mergeCell ref="AI40:AJ40"/>
    <mergeCell ref="I42:J42"/>
    <mergeCell ref="L42:M42"/>
    <mergeCell ref="O42:P42"/>
    <mergeCell ref="R42:S42"/>
    <mergeCell ref="U42:V42"/>
    <mergeCell ref="X42:Y42"/>
    <mergeCell ref="AB42:AC42"/>
    <mergeCell ref="AE42:AF42"/>
    <mergeCell ref="AI42:AJ42"/>
    <mergeCell ref="I44:J44"/>
    <mergeCell ref="L44:M44"/>
    <mergeCell ref="O44:P44"/>
    <mergeCell ref="R44:S44"/>
    <mergeCell ref="U44:V44"/>
    <mergeCell ref="X44:Y44"/>
    <mergeCell ref="AB44:AC44"/>
    <mergeCell ref="AE44:AF44"/>
    <mergeCell ref="AI44:AJ44"/>
    <mergeCell ref="I46:J46"/>
    <mergeCell ref="L46:M46"/>
    <mergeCell ref="O46:P46"/>
    <mergeCell ref="R46:S46"/>
    <mergeCell ref="U46:V46"/>
    <mergeCell ref="X46:Y46"/>
    <mergeCell ref="AB46:AC46"/>
    <mergeCell ref="AE46:AF46"/>
    <mergeCell ref="AI46:AJ46"/>
    <mergeCell ref="I48:J48"/>
    <mergeCell ref="L48:M48"/>
    <mergeCell ref="O48:P48"/>
    <mergeCell ref="R48:S48"/>
    <mergeCell ref="U48:V48"/>
    <mergeCell ref="X48:Y48"/>
    <mergeCell ref="AB48:AC48"/>
    <mergeCell ref="AE48:AF48"/>
    <mergeCell ref="AI48:AJ48"/>
    <mergeCell ref="I50:J50"/>
    <mergeCell ref="L50:M50"/>
    <mergeCell ref="O50:P50"/>
    <mergeCell ref="R50:S50"/>
    <mergeCell ref="U50:V50"/>
    <mergeCell ref="X50:Y50"/>
    <mergeCell ref="AB50:AC50"/>
    <mergeCell ref="AE50:AF50"/>
    <mergeCell ref="AI50:AJ50"/>
    <mergeCell ref="I52:J52"/>
    <mergeCell ref="L52:M52"/>
    <mergeCell ref="O52:P52"/>
    <mergeCell ref="R52:S52"/>
    <mergeCell ref="U52:V52"/>
    <mergeCell ref="X52:Y52"/>
    <mergeCell ref="AB52:AC52"/>
    <mergeCell ref="AE52:AF52"/>
    <mergeCell ref="AI52:AJ52"/>
    <mergeCell ref="I54:J54"/>
    <mergeCell ref="L54:M54"/>
    <mergeCell ref="O54:P54"/>
    <mergeCell ref="R54:S54"/>
    <mergeCell ref="U54:V54"/>
    <mergeCell ref="X54:Y54"/>
    <mergeCell ref="AB54:AC54"/>
    <mergeCell ref="AE54:AF54"/>
    <mergeCell ref="AI54:AJ54"/>
    <mergeCell ref="I56:J56"/>
    <mergeCell ref="L56:M56"/>
    <mergeCell ref="O56:P56"/>
    <mergeCell ref="R56:S56"/>
    <mergeCell ref="U56:V56"/>
    <mergeCell ref="X56:Y56"/>
    <mergeCell ref="AB56:AC56"/>
    <mergeCell ref="AE56:AF56"/>
    <mergeCell ref="AI56:AJ56"/>
    <mergeCell ref="I58:J58"/>
    <mergeCell ref="L58:M58"/>
    <mergeCell ref="O58:P58"/>
    <mergeCell ref="R58:S58"/>
    <mergeCell ref="U58:V58"/>
    <mergeCell ref="X58:Y58"/>
    <mergeCell ref="AB58:AC58"/>
    <mergeCell ref="AE58:AF58"/>
    <mergeCell ref="AI58:AJ58"/>
    <mergeCell ref="I60:J60"/>
    <mergeCell ref="L60:M60"/>
    <mergeCell ref="O60:P60"/>
    <mergeCell ref="R60:S60"/>
    <mergeCell ref="U60:V60"/>
    <mergeCell ref="X60:Y60"/>
    <mergeCell ref="AB60:AC60"/>
    <mergeCell ref="AE60:AF60"/>
    <mergeCell ref="AI60:AJ60"/>
    <mergeCell ref="I62:J62"/>
    <mergeCell ref="L62:M62"/>
    <mergeCell ref="O62:P62"/>
    <mergeCell ref="R62:S62"/>
    <mergeCell ref="U62:V62"/>
    <mergeCell ref="X62:Y62"/>
    <mergeCell ref="AB62:AC62"/>
    <mergeCell ref="AE62:AF62"/>
    <mergeCell ref="AI62:AJ62"/>
    <mergeCell ref="I64:J64"/>
    <mergeCell ref="L64:M64"/>
    <mergeCell ref="O64:P64"/>
    <mergeCell ref="R64:S64"/>
    <mergeCell ref="U64:V64"/>
    <mergeCell ref="X64:Y64"/>
    <mergeCell ref="AB64:AC64"/>
    <mergeCell ref="AE64:AF64"/>
    <mergeCell ref="AI64:AJ64"/>
    <mergeCell ref="I66:J66"/>
    <mergeCell ref="L66:M66"/>
    <mergeCell ref="O66:P66"/>
    <mergeCell ref="R66:S66"/>
    <mergeCell ref="U66:V66"/>
    <mergeCell ref="X66:Y66"/>
    <mergeCell ref="AB66:AC66"/>
    <mergeCell ref="AE66:AF66"/>
    <mergeCell ref="AI66:AJ66"/>
    <mergeCell ref="I68:J68"/>
    <mergeCell ref="L68:M68"/>
    <mergeCell ref="O68:P68"/>
    <mergeCell ref="R68:S68"/>
    <mergeCell ref="U68:V68"/>
    <mergeCell ref="X68:Y68"/>
    <mergeCell ref="AB68:AC68"/>
    <mergeCell ref="AE68:AF68"/>
    <mergeCell ref="AI68:AJ68"/>
    <mergeCell ref="I70:J70"/>
    <mergeCell ref="L70:M70"/>
    <mergeCell ref="O70:P70"/>
    <mergeCell ref="R70:S70"/>
    <mergeCell ref="U70:V70"/>
    <mergeCell ref="X70:Y70"/>
    <mergeCell ref="AB70:AC70"/>
    <mergeCell ref="AE70:AF70"/>
    <mergeCell ref="AI70:AJ70"/>
    <mergeCell ref="I72:J72"/>
    <mergeCell ref="L72:M72"/>
    <mergeCell ref="O72:P72"/>
    <mergeCell ref="R72:S72"/>
    <mergeCell ref="U72:V72"/>
    <mergeCell ref="X72:Y72"/>
    <mergeCell ref="AB72:AC72"/>
    <mergeCell ref="AE72:AF72"/>
    <mergeCell ref="AI72:AJ72"/>
    <mergeCell ref="I74:J74"/>
    <mergeCell ref="L74:M74"/>
    <mergeCell ref="O74:P74"/>
    <mergeCell ref="R74:S74"/>
    <mergeCell ref="U74:V74"/>
    <mergeCell ref="X74:Y74"/>
    <mergeCell ref="AB74:AC74"/>
    <mergeCell ref="AE74:AF74"/>
    <mergeCell ref="AI74:AJ74"/>
    <mergeCell ref="I76:J76"/>
    <mergeCell ref="L76:M76"/>
    <mergeCell ref="O76:P76"/>
    <mergeCell ref="R76:S76"/>
    <mergeCell ref="X78:Y78"/>
    <mergeCell ref="AB78:AC78"/>
    <mergeCell ref="AE78:AF78"/>
    <mergeCell ref="AI78:AJ78"/>
    <mergeCell ref="AB79:AC79"/>
    <mergeCell ref="AE79:AF79"/>
    <mergeCell ref="AI79:AJ79"/>
    <mergeCell ref="U76:V76"/>
    <mergeCell ref="X76:Y76"/>
    <mergeCell ref="AB76:AC76"/>
    <mergeCell ref="AE76:AF76"/>
    <mergeCell ref="AI76:AJ76"/>
    <mergeCell ref="B79:P79"/>
    <mergeCell ref="U79:V79"/>
    <mergeCell ref="X79:Y79"/>
    <mergeCell ref="B99:D99"/>
    <mergeCell ref="B100:D100"/>
    <mergeCell ref="B97:D97"/>
    <mergeCell ref="B98:D98"/>
    <mergeCell ref="B95:D95"/>
    <mergeCell ref="B96:D96"/>
    <mergeCell ref="B93:D93"/>
    <mergeCell ref="B94:D94"/>
    <mergeCell ref="U78:V78"/>
    <mergeCell ref="I78:J78"/>
    <mergeCell ref="L78:M78"/>
    <mergeCell ref="O78:P78"/>
    <mergeCell ref="R78:S78"/>
    <mergeCell ref="F93:J93"/>
    <mergeCell ref="F94:J94"/>
    <mergeCell ref="F95:J95"/>
    <mergeCell ref="F96:J96"/>
    <mergeCell ref="F97:J97"/>
    <mergeCell ref="F98:J98"/>
    <mergeCell ref="F99:J99"/>
    <mergeCell ref="F100:J100"/>
    <mergeCell ref="R79:S79"/>
    <mergeCell ref="B105:D105"/>
    <mergeCell ref="F105:J105"/>
    <mergeCell ref="B106:D106"/>
    <mergeCell ref="F106:J106"/>
    <mergeCell ref="B103:D103"/>
    <mergeCell ref="F103:J103"/>
    <mergeCell ref="B104:D104"/>
    <mergeCell ref="F104:J104"/>
    <mergeCell ref="B101:D101"/>
    <mergeCell ref="F101:J101"/>
    <mergeCell ref="B102:D102"/>
    <mergeCell ref="F102:J102"/>
    <mergeCell ref="B111:D111"/>
    <mergeCell ref="F111:J111"/>
    <mergeCell ref="B112:D112"/>
    <mergeCell ref="F112:J112"/>
    <mergeCell ref="B109:D109"/>
    <mergeCell ref="F109:J109"/>
    <mergeCell ref="B110:D110"/>
    <mergeCell ref="F110:J110"/>
    <mergeCell ref="B107:D107"/>
    <mergeCell ref="F107:J107"/>
    <mergeCell ref="B108:D108"/>
    <mergeCell ref="F108:J108"/>
    <mergeCell ref="B118:D118"/>
    <mergeCell ref="F118:J118"/>
    <mergeCell ref="B115:D115"/>
    <mergeCell ref="F115:J115"/>
    <mergeCell ref="B116:D116"/>
    <mergeCell ref="F116:J116"/>
    <mergeCell ref="B113:D113"/>
    <mergeCell ref="F113:J113"/>
    <mergeCell ref="B114:D114"/>
    <mergeCell ref="F114:J114"/>
    <mergeCell ref="F117:J117"/>
    <mergeCell ref="F72:G72"/>
    <mergeCell ref="F70:G70"/>
    <mergeCell ref="F68:G68"/>
    <mergeCell ref="F66:G66"/>
    <mergeCell ref="F64:G64"/>
    <mergeCell ref="F62:G62"/>
    <mergeCell ref="B125:D125"/>
    <mergeCell ref="F125:J125"/>
    <mergeCell ref="F78:G78"/>
    <mergeCell ref="F76:G76"/>
    <mergeCell ref="F74:G74"/>
    <mergeCell ref="B123:D123"/>
    <mergeCell ref="F123:J123"/>
    <mergeCell ref="B124:D124"/>
    <mergeCell ref="F124:J124"/>
    <mergeCell ref="B121:D121"/>
    <mergeCell ref="F121:J121"/>
    <mergeCell ref="B122:D122"/>
    <mergeCell ref="F122:J122"/>
    <mergeCell ref="B119:D119"/>
    <mergeCell ref="F119:J119"/>
    <mergeCell ref="B120:D120"/>
    <mergeCell ref="F120:J120"/>
    <mergeCell ref="B117:D117"/>
    <mergeCell ref="F48:G48"/>
    <mergeCell ref="F46:G46"/>
    <mergeCell ref="F44:G44"/>
    <mergeCell ref="F42:G42"/>
    <mergeCell ref="F40:G40"/>
    <mergeCell ref="F38:G38"/>
    <mergeCell ref="F60:G60"/>
    <mergeCell ref="F58:G58"/>
    <mergeCell ref="F56:G56"/>
    <mergeCell ref="F54:G54"/>
    <mergeCell ref="F52:G52"/>
    <mergeCell ref="F50:G50"/>
    <mergeCell ref="F24:G24"/>
    <mergeCell ref="F22:G22"/>
    <mergeCell ref="F20:G20"/>
    <mergeCell ref="F18:G18"/>
    <mergeCell ref="X10:AC10"/>
    <mergeCell ref="X12:AC12"/>
    <mergeCell ref="F36:G36"/>
    <mergeCell ref="F34:G34"/>
    <mergeCell ref="F32:G32"/>
    <mergeCell ref="F30:G30"/>
    <mergeCell ref="F28:G28"/>
    <mergeCell ref="F26:G26"/>
    <mergeCell ref="U36:V36"/>
    <mergeCell ref="X36:Y36"/>
    <mergeCell ref="AB36:AC36"/>
    <mergeCell ref="U32:V32"/>
    <mergeCell ref="X32:Y32"/>
    <mergeCell ref="AB32:AC32"/>
    <mergeCell ref="U28:V28"/>
    <mergeCell ref="X28:Y28"/>
    <mergeCell ref="AB28:AC28"/>
    <mergeCell ref="U24:V24"/>
    <mergeCell ref="X24:Y24"/>
    <mergeCell ref="AB24:AC24"/>
    <mergeCell ref="L114:P114"/>
    <mergeCell ref="L113:P113"/>
    <mergeCell ref="L106:P106"/>
    <mergeCell ref="L99:P99"/>
    <mergeCell ref="L96:P96"/>
    <mergeCell ref="L97:P97"/>
    <mergeCell ref="L98:P98"/>
    <mergeCell ref="L94:P94"/>
    <mergeCell ref="L95:P95"/>
    <mergeCell ref="L122:P122"/>
    <mergeCell ref="L123:P123"/>
    <mergeCell ref="L124:P124"/>
    <mergeCell ref="L125:P125"/>
    <mergeCell ref="L93:P93"/>
    <mergeCell ref="L115:P115"/>
    <mergeCell ref="L116:P116"/>
    <mergeCell ref="L117:P117"/>
    <mergeCell ref="L118:P118"/>
    <mergeCell ref="L119:P119"/>
    <mergeCell ref="L120:P120"/>
    <mergeCell ref="L107:P107"/>
    <mergeCell ref="L108:P108"/>
    <mergeCell ref="L109:P109"/>
    <mergeCell ref="L110:P110"/>
    <mergeCell ref="L111:P111"/>
    <mergeCell ref="L112:P112"/>
    <mergeCell ref="L100:P100"/>
    <mergeCell ref="L101:P101"/>
    <mergeCell ref="L102:P102"/>
    <mergeCell ref="L103:P103"/>
    <mergeCell ref="L104:P104"/>
    <mergeCell ref="L105:P105"/>
    <mergeCell ref="L121:P121"/>
  </mergeCells>
  <conditionalFormatting sqref="AI18:AJ18 AE18:AF18 AE78:AF78 AE76:AF76 AE74:AF74 AE72:AF72 AE70:AF70 AE68:AF68 AE66:AF66 AE64:AF64 AE62:AF62 AE60:AF60 AE58:AF58 AE56:AF56 AE54:AF54 AE52:AF52 AE50:AF50 AE48:AF48 AE46:AF46 AE44:AF44 AE42:AF42 AE40:AF40 AE38:AF38 AE36:AF36 AE34:AF34 AE32:AF32 AE30:AF30 AE28:AF28 AE26:AF26 AE24:AF24 AE22:AF22 AE20:AF20 AB78:AC78 AB76:AC76 AB74:AC74 AB72:AC72 AB70:AC70 AB68:AC68 AB66:AC66 AB64:AC64 AB62:AC62 AB60:AC60 AB58:AC58 AB56:AC56 AB54:AC54 AB52:AC52 AB50:AC50 AB48:AC48 AB46:AC46 AB44:AC44 AB42:AC42 AB40:AC40 AB38:AC38 AB36:AC36 AB34:AC34 AB32:AC32 AB30:AC30 AB28:AC28 AB26:AC26 AB24:AC24 AB22:AC22 AB20:AC20 AB18:AC18 X22 X24 X26 X28 X30 X32 X34 X36 X38 X40 X42 X44 X46 X48 X50 X52 X54 X56 X58 X60 X62 X64 X66 X68 X70 X72 X74 X76 X78 X20 X18 AI20:AJ20 AI22:AJ22 AI24:AJ24 AI26:AJ26 AI28:AJ28 AI30:AJ30 AI32:AJ32 AI34:AJ34 AI36:AJ36 AI38:AJ38 AI40:AJ40 AI42:AJ42 AI44:AJ44 AI46:AJ46 AI48:AJ48 AI50:AJ50 AI52:AJ52 AI54:AJ54 AI56:AJ56 AI58:AJ58 AI60:AJ60 AI62:AJ62 AI64:AJ64 AI66:AJ66 AI68:AJ68 AI70:AJ70 AI72:AJ72 AI74:AJ74 AI76:AJ76 AI78:AJ78">
    <cfRule type="cellIs" dxfId="141" priority="236" operator="equal">
      <formula>0</formula>
    </cfRule>
  </conditionalFormatting>
  <conditionalFormatting sqref="R78:S78 R76:S76 R74:S74 R70:S70 R68:S68 R66:S66 R64:S64 R62:S62 R60:S60 R58:S58 R56:S56 R54:S54 R52:S52 R50:S50 R48:S48 R46:S46 R44:S44 R42:S42 R40:S40 R38:S38 R36:S36 R34:S34 R32:S32 R30:S30 R28:S28 R26:S26 R24:S24 R22:S22 R20:S20 R18:S18 R72:S72">
    <cfRule type="cellIs" dxfId="140" priority="235" operator="equal">
      <formula>0</formula>
    </cfRule>
  </conditionalFormatting>
  <conditionalFormatting sqref="AE18:AF18 AE20:AF20 AE22:AF22 AE24:AF24 AE26:AF26 AE28:AF28 AE30:AF30 AE32:AF32 AE34:AF34 AE36:AF36 AE38:AF38 AE40:AF40 AE78:AF78 AE42:AF42 AE44:AF44 AE46:AF46 AE48:AF48 AE50:AF50 AE52:AF52 AE54:AF54 AE56:AF56 AE58:AF58 AE60:AF60 AE62:AF62 AE64:AF64 AE66:AF66 AE68:AF68 AE70:AF70 AE72:AF72 AE74:AF74 AE76:AF76 AB78:AC78 AB18:AC18 AB20:AC20 AB22:AC22 AB24:AC24 AB26:AC26 AB28:AC28 AB30:AC30 AB32:AC32 AB34:AC34 AB36:AC36 AB38:AC38 AB40:AC40 AB42:AC42 AB44:AC44 AB46:AC46 AB48:AC48 AB50:AC50 AB52:AC52 AB54:AC54 AB56:AC56 AB58:AC58 AB60:AC60 AB62:AC62 AB64:AC64 AB66:AC66 AB68:AC68 AB70:AC70 AB72:AC72 AB74:AC74 AB76:AC76">
    <cfRule type="cellIs" dxfId="139" priority="234" operator="equal">
      <formula>0</formula>
    </cfRule>
  </conditionalFormatting>
  <conditionalFormatting sqref="G19 G21 G23 G25 G27 G29 G31 G33 G35 G37 G39 G41 G43 G45 G47 G49 G51 G53 G55 G57 G59 G61 G63 G65 G77 O18:P29 M33 L32:M32 F18:F29 I18:J29 L18:M29 M35 D18:D78 L45:M49 I45:J49 F45:F49 O45:P49 O51:P59 F51:F59 I51:J59 L51:M59 L61:M65 I61:J65 F61:F65 O61:P65 O67:P67 F67:G67 I67:J67 L67:M67 L69:M69 I69:J69 F69:G69 O69:P69 O71:P71 F71:G71 I71:J71 L71:M71 L73:M73 I73:J73 F73:G73 O73:P73 O75:P75 F75:G75 I75:J75 L75:M75 L77:M78 I77:J78 F77:F78 O77:P77 L31:L35 I31:J35 F31:F35 M31 O31:P35 O37:P43 F37:F43 I37:J43 L37:M43">
    <cfRule type="expression" dxfId="138" priority="2027">
      <formula>$D18:$D75="Domingo"</formula>
    </cfRule>
  </conditionalFormatting>
  <conditionalFormatting sqref="O81:P785 L81:M785 F81:G785 D81:D785 O18:P29 M33 I81:J785 G55:G59 L32:M32 F18:G29 I18:J29 F52:G52 F54:G54 F56:G56 F58:G58 L18:M29 M35 D18:D78 L45:M49 F45:G49 I45:J49 O45:P49 O51:P59 I51:J59 F51:F59 G51:G53 L51:M59 L61:M65 I61:J65 O61:P65 F61:G65 F67:G67 O67:P67 I67:J67 L67:M67 L69:M69 I69:J69 O69:P69 F69:G69 F71:G71 O71:P71 I71:J71 L71:M71 L73:M73 I73:J73 O73:P73 F73:G73 F75:G75 O75:P75 I75:J75 L75:M75 L77:M78 I77:J78 O77:P78 F77:G78 L31:L35 I31:J35 F31:G35 M31 O31:P35 O37:P43 F37:G43 I37:J43 L37:M43">
    <cfRule type="expression" dxfId="137" priority="2024">
      <formula>$B18:$B75=$R$12</formula>
    </cfRule>
  </conditionalFormatting>
  <conditionalFormatting sqref="O18:P29 M33 G55:G59 L32:M32 F18:G29 I18:J29 F52:G52 F54:G54 F56:G56 F58:G58 L18:M29 M35 D18:D78 L45:M49 F45:G49 I45:J49 O45:P49 O51:P59 I51:J59 F51:F59 G51:G53 L51:M59 L61:M65 I61:J65 O61:P65 F61:G65 F67:G67 O67:P67 I67:J67 L67:M67 L69:M69 I69:J69 O69:P69 F69:G69 F71:G71 O71:P71 I71:J71 L71:M71 L73:M73 I73:J73 O73:P73 F73:G73 F75:G75 O75:P75 I75:J75 L75:M75 L77:M78 I77:J78 O77:P78 F77:G78 L31:L35 I31:J35 F31:G35 M31 O31:P35 O37:P43 F37:G43 I37:J43 L37:M43">
    <cfRule type="expression" dxfId="136" priority="2025">
      <formula>$B18:$B75=$X$12</formula>
    </cfRule>
    <cfRule type="expression" dxfId="135" priority="2026">
      <formula>$B18:$B75=$AE$12</formula>
    </cfRule>
  </conditionalFormatting>
  <conditionalFormatting sqref="O78:P78">
    <cfRule type="expression" dxfId="134" priority="227">
      <formula>$D78:$D135="Domingo"</formula>
    </cfRule>
  </conditionalFormatting>
  <conditionalFormatting sqref="I78:J78">
    <cfRule type="expression" dxfId="133" priority="223">
      <formula>$D78:$D135="Domingo"</formula>
    </cfRule>
  </conditionalFormatting>
  <conditionalFormatting sqref="L78:M78">
    <cfRule type="expression" dxfId="132" priority="219">
      <formula>$D78:$D135="Domingo"</formula>
    </cfRule>
  </conditionalFormatting>
  <conditionalFormatting sqref="I78:J78">
    <cfRule type="expression" dxfId="131" priority="215">
      <formula>$D78:$D135="Domingo"</formula>
    </cfRule>
  </conditionalFormatting>
  <conditionalFormatting sqref="L78:M78">
    <cfRule type="expression" dxfId="130" priority="211">
      <formula>$D78:$D135="Domingo"</formula>
    </cfRule>
  </conditionalFormatting>
  <conditionalFormatting sqref="F78">
    <cfRule type="expression" dxfId="129" priority="207">
      <formula>$D78:$D135="Domingo"</formula>
    </cfRule>
  </conditionalFormatting>
  <conditionalFormatting sqref="I78:J78">
    <cfRule type="expression" dxfId="128" priority="203">
      <formula>$D78:$D135="Domingo"</formula>
    </cfRule>
  </conditionalFormatting>
  <conditionalFormatting sqref="L78:M78">
    <cfRule type="expression" dxfId="127" priority="199">
      <formula>$D78:$D135="Domingo"</formula>
    </cfRule>
  </conditionalFormatting>
  <conditionalFormatting sqref="F78">
    <cfRule type="expression" dxfId="126" priority="195">
      <formula>$D78:$D135="Domingo"</formula>
    </cfRule>
  </conditionalFormatting>
  <conditionalFormatting sqref="I78:J78">
    <cfRule type="expression" dxfId="125" priority="191">
      <formula>$D78:$D135="Domingo"</formula>
    </cfRule>
  </conditionalFormatting>
  <conditionalFormatting sqref="L78:M78">
    <cfRule type="expression" dxfId="124" priority="187">
      <formula>$D78:$D135="Domingo"</formula>
    </cfRule>
  </conditionalFormatting>
  <conditionalFormatting sqref="L78:M78">
    <cfRule type="expression" dxfId="123" priority="183">
      <formula>$D78:$D135="Domingo"</formula>
    </cfRule>
  </conditionalFormatting>
  <conditionalFormatting sqref="I78:J78">
    <cfRule type="expression" dxfId="122" priority="179">
      <formula>$D78:$D135="Domingo"</formula>
    </cfRule>
  </conditionalFormatting>
  <conditionalFormatting sqref="L78:M78">
    <cfRule type="expression" dxfId="121" priority="175">
      <formula>$D78:$D135="Domingo"</formula>
    </cfRule>
  </conditionalFormatting>
  <conditionalFormatting sqref="F78">
    <cfRule type="expression" dxfId="120" priority="171">
      <formula>$D78:$D135="Domingo"</formula>
    </cfRule>
  </conditionalFormatting>
  <conditionalFormatting sqref="F78">
    <cfRule type="expression" dxfId="119" priority="167">
      <formula>$D78:$D135="Domingo"</formula>
    </cfRule>
  </conditionalFormatting>
  <conditionalFormatting sqref="I78:J78">
    <cfRule type="expression" dxfId="118" priority="163">
      <formula>$D78:$D135="Domingo"</formula>
    </cfRule>
  </conditionalFormatting>
  <conditionalFormatting sqref="L78:M78">
    <cfRule type="expression" dxfId="117" priority="159">
      <formula>$D78:$D135="Domingo"</formula>
    </cfRule>
  </conditionalFormatting>
  <conditionalFormatting sqref="I78:J78">
    <cfRule type="expression" dxfId="116" priority="155">
      <formula>$D78:$D135="Domingo"</formula>
    </cfRule>
  </conditionalFormatting>
  <conditionalFormatting sqref="L78:M78">
    <cfRule type="expression" dxfId="115" priority="151">
      <formula>$D78:$D135="Domingo"</formula>
    </cfRule>
  </conditionalFormatting>
  <conditionalFormatting sqref="I78:J78">
    <cfRule type="expression" dxfId="114" priority="147">
      <formula>$D78:$D135="Domingo"</formula>
    </cfRule>
  </conditionalFormatting>
  <conditionalFormatting sqref="L78:M78">
    <cfRule type="expression" dxfId="113" priority="143">
      <formula>$D78:$D135="Domingo"</formula>
    </cfRule>
  </conditionalFormatting>
  <conditionalFormatting sqref="F78">
    <cfRule type="expression" dxfId="112" priority="139">
      <formula>$D78:$D135="Domingo"</formula>
    </cfRule>
  </conditionalFormatting>
  <conditionalFormatting sqref="F78">
    <cfRule type="expression" dxfId="111" priority="135">
      <formula>$D78:$D135="Domingo"</formula>
    </cfRule>
  </conditionalFormatting>
  <conditionalFormatting sqref="F78">
    <cfRule type="expression" dxfId="110" priority="131">
      <formula>$D78:$D135="Domingo"</formula>
    </cfRule>
  </conditionalFormatting>
  <conditionalFormatting sqref="I78:J78">
    <cfRule type="expression" dxfId="109" priority="127">
      <formula>$D78:$D135="Domingo"</formula>
    </cfRule>
  </conditionalFormatting>
  <conditionalFormatting sqref="L78:M78">
    <cfRule type="expression" dxfId="108" priority="123">
      <formula>$D78:$D135="Domingo"</formula>
    </cfRule>
  </conditionalFormatting>
  <conditionalFormatting sqref="F78">
    <cfRule type="expression" dxfId="107" priority="119">
      <formula>$D78:$D135="Domingo"</formula>
    </cfRule>
  </conditionalFormatting>
  <conditionalFormatting sqref="L78:M78">
    <cfRule type="expression" dxfId="106" priority="115">
      <formula>$D78:$D135="Domingo"</formula>
    </cfRule>
  </conditionalFormatting>
  <conditionalFormatting sqref="I78:J78">
    <cfRule type="expression" dxfId="105" priority="106">
      <formula>$D78:$D135="Domingo"</formula>
    </cfRule>
  </conditionalFormatting>
  <conditionalFormatting sqref="I78:J78">
    <cfRule type="expression" dxfId="104" priority="105">
      <formula>$D78:$D135="Domingo"</formula>
    </cfRule>
  </conditionalFormatting>
  <conditionalFormatting sqref="I78:J78">
    <cfRule type="expression" dxfId="103" priority="104">
      <formula>$D78:$D135="Domingo"</formula>
    </cfRule>
  </conditionalFormatting>
  <conditionalFormatting sqref="I78:J78">
    <cfRule type="expression" dxfId="102" priority="103">
      <formula>$D78:$D135="Domingo"</formula>
    </cfRule>
  </conditionalFormatting>
  <conditionalFormatting sqref="I78:J78">
    <cfRule type="expression" dxfId="101" priority="102">
      <formula>$D78:$D135="Domingo"</formula>
    </cfRule>
  </conditionalFormatting>
  <conditionalFormatting sqref="I78:J78">
    <cfRule type="expression" dxfId="100" priority="101">
      <formula>$D78:$D135="Domingo"</formula>
    </cfRule>
  </conditionalFormatting>
  <conditionalFormatting sqref="I78:J78">
    <cfRule type="expression" dxfId="99" priority="100">
      <formula>$D78:$D135="Domingo"</formula>
    </cfRule>
  </conditionalFormatting>
  <conditionalFormatting sqref="I78:J78">
    <cfRule type="expression" dxfId="98" priority="99">
      <formula>$D78:$D135="Domingo"</formula>
    </cfRule>
  </conditionalFormatting>
  <conditionalFormatting sqref="I78:J78">
    <cfRule type="expression" dxfId="97" priority="98">
      <formula>$D78:$D135="Domingo"</formula>
    </cfRule>
  </conditionalFormatting>
  <conditionalFormatting sqref="I78:J78">
    <cfRule type="expression" dxfId="96" priority="97">
      <formula>$D78:$D135="Domingo"</formula>
    </cfRule>
  </conditionalFormatting>
  <conditionalFormatting sqref="I78:J78">
    <cfRule type="expression" dxfId="95" priority="96">
      <formula>$D78:$D135="Domingo"</formula>
    </cfRule>
  </conditionalFormatting>
  <conditionalFormatting sqref="L78:M78">
    <cfRule type="expression" dxfId="94" priority="95">
      <formula>$D78:$D135="Domingo"</formula>
    </cfRule>
  </conditionalFormatting>
  <conditionalFormatting sqref="L78:M78">
    <cfRule type="expression" dxfId="93" priority="94">
      <formula>$D78:$D135="Domingo"</formula>
    </cfRule>
  </conditionalFormatting>
  <conditionalFormatting sqref="L78:M78">
    <cfRule type="expression" dxfId="92" priority="93">
      <formula>$D78:$D135="Domingo"</formula>
    </cfRule>
  </conditionalFormatting>
  <conditionalFormatting sqref="L78:M78">
    <cfRule type="expression" dxfId="91" priority="92">
      <formula>$D78:$D135="Domingo"</formula>
    </cfRule>
  </conditionalFormatting>
  <conditionalFormatting sqref="L78:M78">
    <cfRule type="expression" dxfId="90" priority="91">
      <formula>$D78:$D135="Domingo"</formula>
    </cfRule>
  </conditionalFormatting>
  <conditionalFormatting sqref="L78:M78">
    <cfRule type="expression" dxfId="89" priority="90">
      <formula>$D78:$D135="Domingo"</formula>
    </cfRule>
  </conditionalFormatting>
  <conditionalFormatting sqref="L78:M78">
    <cfRule type="expression" dxfId="88" priority="89">
      <formula>$D78:$D135="Domingo"</formula>
    </cfRule>
  </conditionalFormatting>
  <conditionalFormatting sqref="L78:M78">
    <cfRule type="expression" dxfId="87" priority="88">
      <formula>$D78:$D135="Domingo"</formula>
    </cfRule>
  </conditionalFormatting>
  <conditionalFormatting sqref="L78:M78">
    <cfRule type="expression" dxfId="86" priority="87">
      <formula>$D78:$D135="Domingo"</formula>
    </cfRule>
  </conditionalFormatting>
  <conditionalFormatting sqref="L78:M78">
    <cfRule type="expression" dxfId="85" priority="86">
      <formula>$D78:$D135="Domingo"</formula>
    </cfRule>
  </conditionalFormatting>
  <conditionalFormatting sqref="L78:M78">
    <cfRule type="expression" dxfId="84" priority="85">
      <formula>$D78:$D135="Domingo"</formula>
    </cfRule>
  </conditionalFormatting>
  <conditionalFormatting sqref="L78:M78">
    <cfRule type="expression" dxfId="83" priority="84">
      <formula>$D78:$D135="Domingo"</formula>
    </cfRule>
  </conditionalFormatting>
  <conditionalFormatting sqref="L78:M78">
    <cfRule type="expression" dxfId="82" priority="83">
      <formula>$D78:$D135="Domingo"</formula>
    </cfRule>
  </conditionalFormatting>
  <conditionalFormatting sqref="L78:M78">
    <cfRule type="expression" dxfId="81" priority="82">
      <formula>$D78:$D135="Domingo"</formula>
    </cfRule>
  </conditionalFormatting>
  <conditionalFormatting sqref="L78:M78">
    <cfRule type="expression" dxfId="80" priority="81">
      <formula>$D78:$D135="Domingo"</formula>
    </cfRule>
  </conditionalFormatting>
  <conditionalFormatting sqref="L78:M78">
    <cfRule type="expression" dxfId="79" priority="80">
      <formula>$D78:$D135="Domingo"</formula>
    </cfRule>
  </conditionalFormatting>
  <conditionalFormatting sqref="L78:M78">
    <cfRule type="expression" dxfId="78" priority="79">
      <formula>$D78:$D135="Domingo"</formula>
    </cfRule>
  </conditionalFormatting>
  <conditionalFormatting sqref="L78:M78">
    <cfRule type="expression" dxfId="77" priority="78">
      <formula>$D78:$D135="Domingo"</formula>
    </cfRule>
  </conditionalFormatting>
  <conditionalFormatting sqref="L78:M78">
    <cfRule type="expression" dxfId="76" priority="77">
      <formula>$D78:$D135="Domingo"</formula>
    </cfRule>
  </conditionalFormatting>
  <conditionalFormatting sqref="L78:M78">
    <cfRule type="expression" dxfId="75" priority="76">
      <formula>$D78:$D135="Domingo"</formula>
    </cfRule>
  </conditionalFormatting>
  <conditionalFormatting sqref="I78:J78">
    <cfRule type="expression" dxfId="74" priority="75">
      <formula>$D78:$D135="Domingo"</formula>
    </cfRule>
  </conditionalFormatting>
  <conditionalFormatting sqref="I78:J78">
    <cfRule type="expression" dxfId="73" priority="74">
      <formula>$D78:$D135="Domingo"</formula>
    </cfRule>
  </conditionalFormatting>
  <conditionalFormatting sqref="I78:J78">
    <cfRule type="expression" dxfId="72" priority="73">
      <formula>$D78:$D135="Domingo"</formula>
    </cfRule>
  </conditionalFormatting>
  <conditionalFormatting sqref="I78:J78">
    <cfRule type="expression" dxfId="71" priority="72">
      <formula>$D78:$D135="Domingo"</formula>
    </cfRule>
  </conditionalFormatting>
  <conditionalFormatting sqref="I78:J78">
    <cfRule type="expression" dxfId="70" priority="71">
      <formula>$D78:$D135="Domingo"</formula>
    </cfRule>
  </conditionalFormatting>
  <conditionalFormatting sqref="I78:J78">
    <cfRule type="expression" dxfId="69" priority="70">
      <formula>$D78:$D135="Domingo"</formula>
    </cfRule>
  </conditionalFormatting>
  <conditionalFormatting sqref="I78:J78">
    <cfRule type="expression" dxfId="68" priority="69">
      <formula>$D78:$D135="Domingo"</formula>
    </cfRule>
  </conditionalFormatting>
  <conditionalFormatting sqref="I78:J78">
    <cfRule type="expression" dxfId="67" priority="68">
      <formula>$D78:$D135="Domingo"</formula>
    </cfRule>
  </conditionalFormatting>
  <conditionalFormatting sqref="I78:J78">
    <cfRule type="expression" dxfId="66" priority="67">
      <formula>$D78:$D135="Domingo"</formula>
    </cfRule>
  </conditionalFormatting>
  <conditionalFormatting sqref="I78:J78">
    <cfRule type="expression" dxfId="65" priority="66">
      <formula>$D78:$D135="Domingo"</formula>
    </cfRule>
  </conditionalFormatting>
  <conditionalFormatting sqref="I78:J78">
    <cfRule type="expression" dxfId="64" priority="65">
      <formula>$D78:$D135="Domingo"</formula>
    </cfRule>
  </conditionalFormatting>
  <conditionalFormatting sqref="I78:J78">
    <cfRule type="expression" dxfId="63" priority="64">
      <formula>$D78:$D135="Domingo"</formula>
    </cfRule>
  </conditionalFormatting>
  <conditionalFormatting sqref="I78:J78">
    <cfRule type="expression" dxfId="62" priority="63">
      <formula>$D78:$D135="Domingo"</formula>
    </cfRule>
  </conditionalFormatting>
  <conditionalFormatting sqref="I78:J78">
    <cfRule type="expression" dxfId="61" priority="62">
      <formula>$D78:$D135="Domingo"</formula>
    </cfRule>
  </conditionalFormatting>
  <conditionalFormatting sqref="I78:J78">
    <cfRule type="expression" dxfId="60" priority="61">
      <formula>$D78:$D135="Domingo"</formula>
    </cfRule>
  </conditionalFormatting>
  <conditionalFormatting sqref="I78:J78">
    <cfRule type="expression" dxfId="59" priority="60">
      <formula>$D78:$D135="Domingo"</formula>
    </cfRule>
  </conditionalFormatting>
  <conditionalFormatting sqref="I78:J78">
    <cfRule type="expression" dxfId="58" priority="59">
      <formula>$D78:$D135="Domingo"</formula>
    </cfRule>
  </conditionalFormatting>
  <conditionalFormatting sqref="I78:J78">
    <cfRule type="expression" dxfId="57" priority="58">
      <formula>$D78:$D135="Domingo"</formula>
    </cfRule>
  </conditionalFormatting>
  <conditionalFormatting sqref="I78:J78">
    <cfRule type="expression" dxfId="56" priority="57">
      <formula>$D78:$D135="Domingo"</formula>
    </cfRule>
  </conditionalFormatting>
  <conditionalFormatting sqref="I78:J78">
    <cfRule type="expression" dxfId="55" priority="56">
      <formula>$D78:$D135="Domingo"</formula>
    </cfRule>
  </conditionalFormatting>
  <conditionalFormatting sqref="I78:J78">
    <cfRule type="expression" dxfId="54" priority="55">
      <formula>$D78:$D135="Domingo"</formula>
    </cfRule>
  </conditionalFormatting>
  <conditionalFormatting sqref="I78:J78">
    <cfRule type="expression" dxfId="53" priority="54">
      <formula>$D78:$D135="Domingo"</formula>
    </cfRule>
  </conditionalFormatting>
  <conditionalFormatting sqref="I78:J78">
    <cfRule type="expression" dxfId="52" priority="53">
      <formula>$D78:$D135="Domingo"</formula>
    </cfRule>
  </conditionalFormatting>
  <conditionalFormatting sqref="I78:J78">
    <cfRule type="expression" dxfId="51" priority="52">
      <formula>$D78:$D135="Domingo"</formula>
    </cfRule>
  </conditionalFormatting>
  <conditionalFormatting sqref="I78:J78">
    <cfRule type="expression" dxfId="50" priority="51">
      <formula>$D78:$D135="Domingo"</formula>
    </cfRule>
  </conditionalFormatting>
  <conditionalFormatting sqref="I78:J78">
    <cfRule type="expression" dxfId="49" priority="50">
      <formula>$D78:$D135="Domingo"</formula>
    </cfRule>
  </conditionalFormatting>
  <conditionalFormatting sqref="I78:J78">
    <cfRule type="expression" dxfId="48" priority="49">
      <formula>$D78:$D135="Domingo"</formula>
    </cfRule>
  </conditionalFormatting>
  <conditionalFormatting sqref="I78:J78">
    <cfRule type="expression" dxfId="47" priority="48">
      <formula>$D78:$D135="Domingo"</formula>
    </cfRule>
  </conditionalFormatting>
  <conditionalFormatting sqref="I78:J78">
    <cfRule type="expression" dxfId="46" priority="47">
      <formula>$D78:$D135="Domingo"</formula>
    </cfRule>
  </conditionalFormatting>
  <conditionalFormatting sqref="I78:J78">
    <cfRule type="expression" dxfId="45" priority="46">
      <formula>$D78:$D135="Domingo"</formula>
    </cfRule>
  </conditionalFormatting>
  <conditionalFormatting sqref="I78:J78">
    <cfRule type="expression" dxfId="44" priority="45">
      <formula>$D78:$D135="Domingo"</formula>
    </cfRule>
  </conditionalFormatting>
  <conditionalFormatting sqref="O44:P44 F44 I44:J44 L44:M44">
    <cfRule type="expression" dxfId="43" priority="44">
      <formula>$D44:$D101="Domingo"</formula>
    </cfRule>
  </conditionalFormatting>
  <conditionalFormatting sqref="O44:P44 F44:G44 I44:J44 L44:M44">
    <cfRule type="expression" dxfId="42" priority="41">
      <formula>$B44:$B101=$R$12</formula>
    </cfRule>
  </conditionalFormatting>
  <conditionalFormatting sqref="O44:P44 F44:G44 I44:J44 L44:M44">
    <cfRule type="expression" dxfId="41" priority="42">
      <formula>$B44:$B101=$X$12</formula>
    </cfRule>
    <cfRule type="expression" dxfId="40" priority="43">
      <formula>$B44:$B101=$AE$12</formula>
    </cfRule>
  </conditionalFormatting>
  <conditionalFormatting sqref="O50:P50 F50 I50:J50 L50:M50">
    <cfRule type="expression" dxfId="39" priority="40">
      <formula>$D50:$D107="Domingo"</formula>
    </cfRule>
  </conditionalFormatting>
  <conditionalFormatting sqref="O50:P50 F50:G50 I50:J50 L50:M50">
    <cfRule type="expression" dxfId="38" priority="37">
      <formula>$B50:$B107=$R$12</formula>
    </cfRule>
  </conditionalFormatting>
  <conditionalFormatting sqref="O50:P50 F50:G50 I50:J50 L50:M50">
    <cfRule type="expression" dxfId="37" priority="38">
      <formula>$B50:$B107=$X$12</formula>
    </cfRule>
    <cfRule type="expression" dxfId="36" priority="39">
      <formula>$B50:$B107=$AE$12</formula>
    </cfRule>
  </conditionalFormatting>
  <conditionalFormatting sqref="O60:P60 F60 I60:J60 L60:M60">
    <cfRule type="expression" dxfId="35" priority="36">
      <formula>$D60:$D117="Domingo"</formula>
    </cfRule>
  </conditionalFormatting>
  <conditionalFormatting sqref="O60:P60 F60:G60 I60:J60 L60:M60">
    <cfRule type="expression" dxfId="34" priority="33">
      <formula>$B60:$B117=$R$12</formula>
    </cfRule>
  </conditionalFormatting>
  <conditionalFormatting sqref="O60:P60 F60:G60 I60:J60 L60:M60">
    <cfRule type="expression" dxfId="33" priority="34">
      <formula>$B60:$B117=$X$12</formula>
    </cfRule>
    <cfRule type="expression" dxfId="32" priority="35">
      <formula>$B60:$B117=$AE$12</formula>
    </cfRule>
  </conditionalFormatting>
  <conditionalFormatting sqref="O66:P66 F66 I66:J66 L66:M66">
    <cfRule type="expression" dxfId="31" priority="32">
      <formula>$D66:$D123="Domingo"</formula>
    </cfRule>
  </conditionalFormatting>
  <conditionalFormatting sqref="O66:P66 F66:G66 I66:J66 L66:M66">
    <cfRule type="expression" dxfId="30" priority="29">
      <formula>$B66:$B123=$R$12</formula>
    </cfRule>
  </conditionalFormatting>
  <conditionalFormatting sqref="O66:P66 F66:G66 I66:J66 L66:M66">
    <cfRule type="expression" dxfId="29" priority="30">
      <formula>$B66:$B123=$X$12</formula>
    </cfRule>
    <cfRule type="expression" dxfId="28" priority="31">
      <formula>$B66:$B123=$AE$12</formula>
    </cfRule>
  </conditionalFormatting>
  <conditionalFormatting sqref="O68:P68 F68 I68:J68 L68:M68">
    <cfRule type="expression" dxfId="27" priority="28">
      <formula>$D68:$D125="Domingo"</formula>
    </cfRule>
  </conditionalFormatting>
  <conditionalFormatting sqref="O68:P68 F68:G68 I68:J68 L68:M68">
    <cfRule type="expression" dxfId="26" priority="25">
      <formula>$B68:$B125=$R$12</formula>
    </cfRule>
  </conditionalFormatting>
  <conditionalFormatting sqref="O68:P68 F68:G68 I68:J68 L68:M68">
    <cfRule type="expression" dxfId="25" priority="26">
      <formula>$B68:$B125=$X$12</formula>
    </cfRule>
    <cfRule type="expression" dxfId="24" priority="27">
      <formula>$B68:$B125=$AE$12</formula>
    </cfRule>
  </conditionalFormatting>
  <conditionalFormatting sqref="O70:P70 F70 I70:J70 L70:M70">
    <cfRule type="expression" dxfId="23" priority="24">
      <formula>$D70:$D127="Domingo"</formula>
    </cfRule>
  </conditionalFormatting>
  <conditionalFormatting sqref="O70:P70 F70:G70 I70:J70 L70:M70">
    <cfRule type="expression" dxfId="22" priority="21">
      <formula>$B70:$B127=$R$12</formula>
    </cfRule>
  </conditionalFormatting>
  <conditionalFormatting sqref="O70:P70 F70:G70 I70:J70 L70:M70">
    <cfRule type="expression" dxfId="21" priority="22">
      <formula>$B70:$B127=$X$12</formula>
    </cfRule>
    <cfRule type="expression" dxfId="20" priority="23">
      <formula>$B70:$B127=$AE$12</formula>
    </cfRule>
  </conditionalFormatting>
  <conditionalFormatting sqref="O72:P72 F72 I72:J72 L72:M72">
    <cfRule type="expression" dxfId="19" priority="20">
      <formula>$D72:$D129="Domingo"</formula>
    </cfRule>
  </conditionalFormatting>
  <conditionalFormatting sqref="O72:P72 F72:G72 I72:J72 L72:M72">
    <cfRule type="expression" dxfId="18" priority="17">
      <formula>$B72:$B129=$R$12</formula>
    </cfRule>
  </conditionalFormatting>
  <conditionalFormatting sqref="O72:P72 F72:G72 I72:J72 L72:M72">
    <cfRule type="expression" dxfId="17" priority="18">
      <formula>$B72:$B129=$X$12</formula>
    </cfRule>
    <cfRule type="expression" dxfId="16" priority="19">
      <formula>$B72:$B129=$AE$12</formula>
    </cfRule>
  </conditionalFormatting>
  <conditionalFormatting sqref="O74:P74 F74 I74:J74 L74:M74">
    <cfRule type="expression" dxfId="15" priority="16">
      <formula>$D74:$D131="Domingo"</formula>
    </cfRule>
  </conditionalFormatting>
  <conditionalFormatting sqref="O74:P74 F74:G74 I74:J74 L74:M74">
    <cfRule type="expression" dxfId="14" priority="13">
      <formula>$B74:$B131=$R$12</formula>
    </cfRule>
  </conditionalFormatting>
  <conditionalFormatting sqref="O74:P74 F74:G74 I74:J74 L74:M74">
    <cfRule type="expression" dxfId="13" priority="14">
      <formula>$B74:$B131=$X$12</formula>
    </cfRule>
    <cfRule type="expression" dxfId="12" priority="15">
      <formula>$B74:$B131=$AE$12</formula>
    </cfRule>
  </conditionalFormatting>
  <conditionalFormatting sqref="O76:P76 F76 I76:J76 L76:M76">
    <cfRule type="expression" dxfId="11" priority="12">
      <formula>$D76:$D133="Domingo"</formula>
    </cfRule>
  </conditionalFormatting>
  <conditionalFormatting sqref="O76:P76 F76:G76 I76:J76 L76:M76">
    <cfRule type="expression" dxfId="10" priority="9">
      <formula>$B76:$B133=$R$12</formula>
    </cfRule>
  </conditionalFormatting>
  <conditionalFormatting sqref="O76:P76 F76:G76 I76:J76 L76:M76">
    <cfRule type="expression" dxfId="9" priority="10">
      <formula>$B76:$B133=$X$12</formula>
    </cfRule>
    <cfRule type="expression" dxfId="8" priority="11">
      <formula>$B76:$B133=$AE$12</formula>
    </cfRule>
  </conditionalFormatting>
  <conditionalFormatting sqref="O30:P30 F30 I30:J30 L30:M30">
    <cfRule type="expression" dxfId="7" priority="8">
      <formula>$D30:$D87="Domingo"</formula>
    </cfRule>
  </conditionalFormatting>
  <conditionalFormatting sqref="O30:P30 F30:G30 I30:J30 L30:M30">
    <cfRule type="expression" dxfId="6" priority="5">
      <formula>$B30:$B87=$R$12</formula>
    </cfRule>
  </conditionalFormatting>
  <conditionalFormatting sqref="O30:P30 F30:G30 I30:J30 L30:M30">
    <cfRule type="expression" dxfId="5" priority="6">
      <formula>$B30:$B87=$X$12</formula>
    </cfRule>
    <cfRule type="expression" dxfId="4" priority="7">
      <formula>$B30:$B87=$AE$12</formula>
    </cfRule>
  </conditionalFormatting>
  <conditionalFormatting sqref="L36:M36 I36:J36 F36 O36:P36">
    <cfRule type="expression" dxfId="3" priority="4">
      <formula>$D36:$D93="Domingo"</formula>
    </cfRule>
  </conditionalFormatting>
  <conditionalFormatting sqref="L36:M36 I36:J36 F36:G36 O36:P36">
    <cfRule type="expression" dxfId="2" priority="1">
      <formula>$B36:$B93=$R$12</formula>
    </cfRule>
  </conditionalFormatting>
  <conditionalFormatting sqref="L36:M36 I36:J36 F36:G36 O36:P36">
    <cfRule type="expression" dxfId="1" priority="2">
      <formula>$B36:$B93=$X$12</formula>
    </cfRule>
    <cfRule type="expression" dxfId="0" priority="3">
      <formula>$B36:$B93=$AE$12</formula>
    </cfRule>
  </conditionalFormatting>
  <dataValidations count="3">
    <dataValidation type="list" allowBlank="1" showInputMessage="1" showErrorMessage="1" sqref="B4" xr:uid="{00000000-0002-0000-0000-000000000000}">
      <formula1>Meses</formula1>
    </dataValidation>
    <dataValidation type="list" allowBlank="1" showInputMessage="1" showErrorMessage="1" sqref="B5:C5" xr:uid="{00000000-0002-0000-0000-000001000000}">
      <formula1>$B$4:$B$4</formula1>
    </dataValidation>
    <dataValidation type="list" allowBlank="1" showInputMessage="1" showErrorMessage="1" sqref="B81:C84" xr:uid="{00000000-0002-0000-0000-000002000000}">
      <formula1>$D$4:$D$4</formula1>
    </dataValidation>
  </dataValidations>
  <pageMargins left="0.51181102362204722" right="0.51181102362204722" top="0.78740157480314965" bottom="0.78740157480314965" header="0.31496062992125984" footer="0.31496062992125984"/>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vt:i4>
      </vt:variant>
      <vt:variant>
        <vt:lpstr>Intervalos Nomeados</vt:lpstr>
      </vt:variant>
      <vt:variant>
        <vt:i4>2</vt:i4>
      </vt:variant>
    </vt:vector>
  </HeadingPairs>
  <TitlesOfParts>
    <vt:vector size="3" baseType="lpstr">
      <vt:lpstr>Calculo Ponto</vt:lpstr>
      <vt:lpstr>'Calculo Ponto'!Anos</vt:lpstr>
      <vt:lpstr>'Calculo Ponto'!Meses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edson</dc:creator>
  <cp:lastModifiedBy>TI</cp:lastModifiedBy>
  <cp:lastPrinted>2022-10-13T17:24:27Z</cp:lastPrinted>
  <dcterms:created xsi:type="dcterms:W3CDTF">2018-04-09T12:56:19Z</dcterms:created>
  <dcterms:modified xsi:type="dcterms:W3CDTF">2023-01-11T17:09:58Z</dcterms:modified>
</cp:coreProperties>
</file>